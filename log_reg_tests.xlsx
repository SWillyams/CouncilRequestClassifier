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2/"/>
    </mc:Choice>
  </mc:AlternateContent>
  <xr:revisionPtr revIDLastSave="295" documentId="11_2CB4073B8AF8C29501264EE2F511E59ED31FAAC5" xr6:coauthVersionLast="47" xr6:coauthVersionMax="47" xr10:uidLastSave="{3ED71CA9-A9CA-4FF6-9A83-51154AD53994}"/>
  <bookViews>
    <workbookView xWindow="-27615" yWindow="2715" windowWidth="21600" windowHeight="11235" xr2:uid="{00000000-000D-0000-FFFF-FFFF00000000}"/>
  </bookViews>
  <sheets>
    <sheet name="workings" sheetId="12" r:id="rId1"/>
    <sheet name="Summary" sheetId="11" r:id="rId2"/>
    <sheet name="rand_42" sheetId="1" r:id="rId3"/>
    <sheet name="rand_1" sheetId="2" r:id="rId4"/>
    <sheet name="rand_2" sheetId="3" r:id="rId5"/>
    <sheet name="rand_3" sheetId="4" r:id="rId6"/>
    <sheet name="rand_4" sheetId="5" r:id="rId7"/>
    <sheet name="rand_5" sheetId="6" r:id="rId8"/>
    <sheet name="rand_6" sheetId="7" r:id="rId9"/>
    <sheet name="rand_7" sheetId="8" r:id="rId10"/>
    <sheet name="rand_8" sheetId="9" r:id="rId11"/>
    <sheet name="rand_9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2" l="1"/>
  <c r="J4" i="12"/>
  <c r="J5" i="12"/>
  <c r="J6" i="12"/>
  <c r="J3" i="12"/>
  <c r="K4" i="12"/>
  <c r="L4" i="12"/>
  <c r="M4" i="12"/>
  <c r="K5" i="12"/>
  <c r="L5" i="12"/>
  <c r="M5" i="12"/>
  <c r="K6" i="12"/>
  <c r="L6" i="12"/>
  <c r="M6" i="12"/>
  <c r="L3" i="12"/>
  <c r="M3" i="12"/>
  <c r="B15" i="11" l="1"/>
  <c r="B14" i="11"/>
  <c r="B13" i="11"/>
  <c r="B12" i="11"/>
  <c r="B11" i="11"/>
  <c r="B10" i="11"/>
  <c r="B9" i="11"/>
  <c r="B8" i="11"/>
  <c r="B7" i="11"/>
  <c r="B6" i="11"/>
  <c r="B5" i="11"/>
  <c r="B4" i="11"/>
  <c r="B3" i="11"/>
  <c r="F2" i="11" a="1"/>
  <c r="H9" i="11" a="1"/>
  <c r="Q9" i="11" a="1"/>
  <c r="K3" i="11" a="1"/>
  <c r="W9" i="11" a="1"/>
  <c r="O11" i="11" a="1"/>
  <c r="V5" i="11" a="1"/>
  <c r="O9" i="11" a="1"/>
  <c r="Q10" i="11" a="1"/>
  <c r="O12" i="11" a="1"/>
  <c r="P7" i="11" a="1"/>
  <c r="W4" i="11" a="1"/>
  <c r="Q3" i="11" a="1"/>
  <c r="H8" i="11" a="1"/>
  <c r="U13" i="11" a="1"/>
  <c r="M5" i="11" a="1"/>
  <c r="O4" i="11" a="1"/>
  <c r="F10" i="11" a="1"/>
  <c r="U3" i="11" a="1"/>
  <c r="H12" i="11" a="1"/>
  <c r="Q2" i="11" a="1"/>
  <c r="P4" i="11" a="1"/>
  <c r="K6" i="11" a="1"/>
  <c r="W5" i="11" a="1"/>
  <c r="N10" i="11" a="1"/>
  <c r="U7" i="11" a="1"/>
  <c r="M6" i="11" a="1"/>
  <c r="G3" i="11" a="1"/>
  <c r="N13" i="11" a="1"/>
  <c r="S6" i="11" a="1"/>
  <c r="I12" i="11" a="1"/>
  <c r="V11" i="11" a="1"/>
  <c r="R10" i="11" a="1"/>
  <c r="J13" i="11" a="1"/>
  <c r="V4" i="11" a="1"/>
  <c r="L7" i="11" a="1"/>
  <c r="O7" i="11" a="1"/>
  <c r="H10" i="11" a="1"/>
  <c r="J3" i="11" a="1"/>
  <c r="J7" i="11" a="1"/>
  <c r="J6" i="11" a="1"/>
  <c r="O5" i="11" a="1"/>
  <c r="N2" i="11" a="1"/>
  <c r="P9" i="11" a="1"/>
  <c r="O10" i="11" a="1"/>
  <c r="G9" i="11" a="1"/>
  <c r="G2" i="11" a="1"/>
  <c r="T6" i="11" a="1"/>
  <c r="V13" i="11" a="1"/>
  <c r="I2" i="11" a="1"/>
  <c r="S13" i="11" a="1"/>
  <c r="N8" i="11" a="1"/>
  <c r="P12" i="11" a="1"/>
  <c r="V2" i="11" a="1"/>
  <c r="U11" i="11" a="1"/>
  <c r="O2" i="11" a="1"/>
  <c r="I8" i="11" a="1"/>
  <c r="J11" i="11" a="1"/>
  <c r="L9" i="11" a="1"/>
  <c r="U5" i="11" a="1"/>
  <c r="L3" i="11" a="1"/>
  <c r="K12" i="11" a="1"/>
  <c r="W2" i="11" a="1"/>
  <c r="O13" i="11" a="1"/>
  <c r="U2" i="11" a="1"/>
  <c r="J10" i="11" a="1"/>
  <c r="I7" i="11" a="1"/>
  <c r="P13" i="11" a="1"/>
  <c r="Q6" i="11" a="1"/>
  <c r="G13" i="11" a="1"/>
  <c r="R13" i="11" a="1"/>
  <c r="P11" i="11" a="1"/>
  <c r="W11" i="11" a="1"/>
  <c r="V9" i="11" a="1"/>
  <c r="M7" i="11" a="1"/>
  <c r="M8" i="11" a="1"/>
  <c r="J8" i="11" a="1"/>
  <c r="U8" i="11" a="1"/>
  <c r="Q4" i="11" a="1"/>
  <c r="R6" i="11" a="1"/>
  <c r="W10" i="11" a="1"/>
  <c r="I10" i="11" a="1"/>
  <c r="T7" i="11" a="1"/>
  <c r="M12" i="11" a="1"/>
  <c r="S2" i="11" a="1"/>
  <c r="P8" i="11" a="1"/>
  <c r="I3" i="11" a="1"/>
  <c r="I9" i="11" a="1"/>
  <c r="S9" i="11" a="1"/>
  <c r="H4" i="11" a="1"/>
  <c r="T3" i="11" a="1"/>
  <c r="V10" i="11" a="1"/>
  <c r="I13" i="11" a="1"/>
  <c r="G10" i="11" a="1"/>
  <c r="M3" i="11" a="1"/>
  <c r="S11" i="11" a="1"/>
  <c r="P2" i="11" a="1"/>
  <c r="O3" i="11" a="1"/>
  <c r="W13" i="11" a="1"/>
  <c r="S7" i="11" a="1"/>
  <c r="H11" i="11" a="1"/>
  <c r="Q7" i="11" a="1"/>
  <c r="O8" i="11" a="1"/>
  <c r="F9" i="11" a="1"/>
  <c r="J4" i="11" a="1"/>
  <c r="L11" i="11" a="1"/>
  <c r="M11" i="11" a="1"/>
  <c r="K4" i="11" a="1"/>
  <c r="H2" i="11" a="1"/>
  <c r="T8" i="11" a="1"/>
  <c r="W3" i="11" a="1"/>
  <c r="M10" i="11" a="1"/>
  <c r="F12" i="11" a="1"/>
  <c r="G8" i="11" a="1"/>
  <c r="U9" i="11" a="1"/>
  <c r="S3" i="11" a="1"/>
  <c r="J12" i="11" a="1"/>
  <c r="N3" i="11" a="1"/>
  <c r="F8" i="11" a="1"/>
  <c r="M9" i="11" a="1"/>
  <c r="R12" i="11" a="1"/>
  <c r="V3" i="11" a="1"/>
  <c r="V8" i="11" a="1"/>
  <c r="I11" i="11" a="1"/>
  <c r="F6" i="11" a="1"/>
  <c r="R9" i="11" a="1"/>
  <c r="L4" i="11" a="1"/>
  <c r="T9" i="11" a="1"/>
  <c r="K7" i="11" a="1"/>
  <c r="L12" i="11" a="1"/>
  <c r="M13" i="11" a="1"/>
  <c r="H6" i="11" a="1"/>
  <c r="F5" i="11" a="1"/>
  <c r="U12" i="11" a="1"/>
  <c r="N12" i="11" a="1"/>
  <c r="K13" i="11" a="1"/>
  <c r="V12" i="11" a="1"/>
  <c r="P10" i="11" a="1"/>
  <c r="T13" i="11" a="1"/>
  <c r="T12" i="11" a="1"/>
  <c r="K2" i="11" a="1"/>
  <c r="T4" i="11" a="1"/>
  <c r="F4" i="11" a="1"/>
  <c r="H5" i="11" a="1"/>
  <c r="J5" i="11" a="1"/>
  <c r="K5" i="11" a="1"/>
  <c r="S10" i="11" a="1"/>
  <c r="Q8" i="11" a="1"/>
  <c r="J9" i="11" a="1"/>
  <c r="K11" i="11" a="1"/>
  <c r="H3" i="11" a="1"/>
  <c r="R11" i="11" a="1"/>
  <c r="H13" i="11" a="1"/>
  <c r="M4" i="11" a="1"/>
  <c r="N5" i="11" a="1"/>
  <c r="R5" i="11" a="1"/>
  <c r="N4" i="11" a="1"/>
  <c r="I5" i="11" a="1"/>
  <c r="G7" i="11" a="1"/>
  <c r="L2" i="11" a="1"/>
  <c r="Q13" i="11" a="1"/>
  <c r="Q12" i="11" a="1"/>
  <c r="R7" i="11" a="1"/>
  <c r="T5" i="11" a="1"/>
  <c r="T10" i="11" a="1"/>
  <c r="R3" i="11" a="1"/>
  <c r="N9" i="11" a="1"/>
  <c r="K10" i="11" a="1"/>
  <c r="R4" i="11" a="1"/>
  <c r="T11" i="11" a="1"/>
  <c r="P6" i="11" a="1"/>
  <c r="S12" i="11" a="1"/>
  <c r="S4" i="11" a="1"/>
  <c r="F3" i="11" a="1"/>
  <c r="L10" i="11" a="1"/>
  <c r="U4" i="11" a="1"/>
  <c r="H7" i="11" a="1"/>
  <c r="J2" i="11" a="1"/>
  <c r="L13" i="11" a="1"/>
  <c r="W8" i="11" a="1"/>
  <c r="Q11" i="11" a="1"/>
  <c r="M2" i="11" a="1"/>
  <c r="L8" i="11" a="1"/>
  <c r="Q5" i="11" a="1"/>
  <c r="G5" i="11" a="1"/>
  <c r="R2" i="11" a="1"/>
  <c r="L6" i="11" a="1"/>
  <c r="P5" i="11" a="1"/>
  <c r="N7" i="11" a="1"/>
  <c r="G6" i="11" a="1"/>
  <c r="S5" i="11" a="1"/>
  <c r="W12" i="11" a="1"/>
  <c r="E3" i="11" a="1"/>
  <c r="F11" i="11" a="1"/>
  <c r="W6" i="11" a="1"/>
  <c r="I6" i="11" a="1"/>
  <c r="P3" i="11" a="1"/>
  <c r="G12" i="11" a="1"/>
  <c r="N6" i="11" a="1"/>
  <c r="S8" i="11" a="1"/>
  <c r="W7" i="11" a="1"/>
  <c r="F13" i="11" a="1"/>
  <c r="V6" i="11" a="1"/>
  <c r="K9" i="11" a="1"/>
  <c r="U6" i="11" a="1"/>
  <c r="O6" i="11" a="1"/>
  <c r="V7" i="11" a="1"/>
  <c r="L5" i="11" a="1"/>
  <c r="T2" i="11" a="1"/>
  <c r="F7" i="11" a="1"/>
  <c r="K8" i="11" a="1"/>
  <c r="U10" i="11" a="1"/>
  <c r="R8" i="11" a="1"/>
  <c r="G4" i="11" a="1"/>
  <c r="I4" i="11" a="1"/>
  <c r="N11" i="11" a="1"/>
  <c r="G11" i="11" a="1"/>
  <c r="E4" i="11" a="1"/>
  <c r="E5" i="11" a="1"/>
  <c r="E6" i="11" a="1"/>
  <c r="D3" i="11" a="1"/>
  <c r="E7" i="11" a="1"/>
  <c r="D11" i="11" a="1"/>
  <c r="D12" i="11" a="1"/>
  <c r="D6" i="11" a="1"/>
  <c r="E9" i="11" a="1"/>
  <c r="D9" i="11" a="1"/>
  <c r="E11" i="11" a="1"/>
  <c r="D10" i="11" a="1"/>
  <c r="D2" i="11" a="1"/>
  <c r="E13" i="11" a="1"/>
  <c r="E2" i="11" a="1"/>
  <c r="D5" i="11" a="1"/>
  <c r="D8" i="11" a="1"/>
  <c r="E10" i="11" a="1"/>
  <c r="D13" i="11" a="1"/>
  <c r="D7" i="11" a="1"/>
  <c r="E12" i="11" a="1"/>
  <c r="E8" i="11" a="1"/>
  <c r="D4" i="11" a="1"/>
  <c r="D4" i="11" l="1"/>
  <c r="E8" i="11"/>
  <c r="E12" i="11"/>
  <c r="D7" i="11"/>
  <c r="D13" i="11"/>
  <c r="E10" i="11"/>
  <c r="D8" i="11"/>
  <c r="D5" i="11"/>
  <c r="E2" i="11"/>
  <c r="E13" i="11"/>
  <c r="D2" i="11"/>
  <c r="D10" i="11"/>
  <c r="E11" i="11"/>
  <c r="D9" i="11"/>
  <c r="E9" i="11"/>
  <c r="E16" i="11" s="1"/>
  <c r="D6" i="11"/>
  <c r="D19" i="11" s="1"/>
  <c r="D12" i="11"/>
  <c r="D11" i="11"/>
  <c r="E7" i="11"/>
  <c r="D3" i="11"/>
  <c r="E6" i="11"/>
  <c r="E5" i="11"/>
  <c r="E4" i="11"/>
  <c r="G11" i="11"/>
  <c r="N11" i="11"/>
  <c r="I4" i="11"/>
  <c r="G4" i="11"/>
  <c r="R8" i="11"/>
  <c r="U10" i="11"/>
  <c r="K8" i="11"/>
  <c r="F7" i="11"/>
  <c r="T2" i="11"/>
  <c r="L5" i="11"/>
  <c r="V7" i="11"/>
  <c r="O6" i="11"/>
  <c r="U6" i="11"/>
  <c r="K9" i="11"/>
  <c r="V6" i="11"/>
  <c r="F13" i="11"/>
  <c r="W7" i="11"/>
  <c r="S8" i="11"/>
  <c r="N6" i="11"/>
  <c r="G12" i="11"/>
  <c r="P3" i="11"/>
  <c r="I6" i="11"/>
  <c r="W6" i="11"/>
  <c r="F11" i="11"/>
  <c r="E3" i="11"/>
  <c r="W12" i="11"/>
  <c r="S5" i="11"/>
  <c r="G6" i="11"/>
  <c r="N7" i="11"/>
  <c r="P5" i="11"/>
  <c r="L6" i="11"/>
  <c r="R2" i="11"/>
  <c r="G5" i="11"/>
  <c r="Q5" i="11"/>
  <c r="L8" i="11"/>
  <c r="M2" i="11"/>
  <c r="Q11" i="11"/>
  <c r="W8" i="11"/>
  <c r="L13" i="11"/>
  <c r="J2" i="11"/>
  <c r="H7" i="11"/>
  <c r="U4" i="11"/>
  <c r="L10" i="11"/>
  <c r="F3" i="11"/>
  <c r="S4" i="11"/>
  <c r="S12" i="11"/>
  <c r="P6" i="11"/>
  <c r="T11" i="11"/>
  <c r="R4" i="11"/>
  <c r="K10" i="11"/>
  <c r="N9" i="11"/>
  <c r="R3" i="11"/>
  <c r="T10" i="11"/>
  <c r="T5" i="11"/>
  <c r="R7" i="11"/>
  <c r="Q12" i="11"/>
  <c r="Q13" i="11"/>
  <c r="L2" i="11"/>
  <c r="G7" i="11"/>
  <c r="I5" i="11"/>
  <c r="N4" i="11"/>
  <c r="R5" i="11"/>
  <c r="N5" i="11"/>
  <c r="M4" i="11"/>
  <c r="H13" i="11"/>
  <c r="R11" i="11"/>
  <c r="H3" i="11"/>
  <c r="K11" i="11"/>
  <c r="J9" i="11"/>
  <c r="Q8" i="11"/>
  <c r="S10" i="11"/>
  <c r="K5" i="11"/>
  <c r="J5" i="11"/>
  <c r="H5" i="11"/>
  <c r="F4" i="11"/>
  <c r="T4" i="11"/>
  <c r="K2" i="11"/>
  <c r="T12" i="11"/>
  <c r="T13" i="11"/>
  <c r="P10" i="11"/>
  <c r="V12" i="11"/>
  <c r="K13" i="11"/>
  <c r="N12" i="11"/>
  <c r="U12" i="11"/>
  <c r="F5" i="11"/>
  <c r="H6" i="11"/>
  <c r="M13" i="11"/>
  <c r="L12" i="11"/>
  <c r="K7" i="11"/>
  <c r="T9" i="11"/>
  <c r="L4" i="11"/>
  <c r="R9" i="11"/>
  <c r="F6" i="11"/>
  <c r="I11" i="11"/>
  <c r="V8" i="11"/>
  <c r="V3" i="11"/>
  <c r="R12" i="11"/>
  <c r="M9" i="11"/>
  <c r="F8" i="11"/>
  <c r="N3" i="11"/>
  <c r="J12" i="11"/>
  <c r="S3" i="11"/>
  <c r="U9" i="11"/>
  <c r="G8" i="11"/>
  <c r="F12" i="11"/>
  <c r="M10" i="11"/>
  <c r="W3" i="11"/>
  <c r="T8" i="11"/>
  <c r="H2" i="11"/>
  <c r="K4" i="11"/>
  <c r="M11" i="11"/>
  <c r="L11" i="11"/>
  <c r="J4" i="11"/>
  <c r="F9" i="11"/>
  <c r="O8" i="11"/>
  <c r="Q7" i="11"/>
  <c r="H11" i="11"/>
  <c r="S7" i="11"/>
  <c r="W13" i="11"/>
  <c r="O3" i="11"/>
  <c r="P2" i="11"/>
  <c r="S11" i="11"/>
  <c r="M3" i="11"/>
  <c r="G10" i="11"/>
  <c r="I13" i="11"/>
  <c r="V10" i="11"/>
  <c r="T3" i="11"/>
  <c r="H4" i="11"/>
  <c r="S9" i="11"/>
  <c r="I9" i="11"/>
  <c r="I3" i="11"/>
  <c r="P8" i="11"/>
  <c r="S2" i="11"/>
  <c r="M12" i="11"/>
  <c r="T7" i="11"/>
  <c r="I10" i="11"/>
  <c r="W10" i="11"/>
  <c r="R6" i="11"/>
  <c r="Q4" i="11"/>
  <c r="U8" i="11"/>
  <c r="J8" i="11"/>
  <c r="M8" i="11"/>
  <c r="M7" i="11"/>
  <c r="V9" i="11"/>
  <c r="W11" i="11"/>
  <c r="P11" i="11"/>
  <c r="R13" i="11"/>
  <c r="G13" i="11"/>
  <c r="Q6" i="11"/>
  <c r="P13" i="11"/>
  <c r="I7" i="11"/>
  <c r="J10" i="11"/>
  <c r="U2" i="11"/>
  <c r="O13" i="11"/>
  <c r="W2" i="11"/>
  <c r="K12" i="11"/>
  <c r="L3" i="11"/>
  <c r="U5" i="11"/>
  <c r="L9" i="11"/>
  <c r="J11" i="11"/>
  <c r="I8" i="11"/>
  <c r="O2" i="11"/>
  <c r="U11" i="11"/>
  <c r="V2" i="11"/>
  <c r="P12" i="11"/>
  <c r="N8" i="11"/>
  <c r="S13" i="11"/>
  <c r="I2" i="11"/>
  <c r="V13" i="11"/>
  <c r="T6" i="11"/>
  <c r="G2" i="11"/>
  <c r="G9" i="11"/>
  <c r="O10" i="11"/>
  <c r="P9" i="11"/>
  <c r="N2" i="11"/>
  <c r="O5" i="11"/>
  <c r="J6" i="11"/>
  <c r="J7" i="11"/>
  <c r="J3" i="11"/>
  <c r="H10" i="11"/>
  <c r="O7" i="11"/>
  <c r="L7" i="11"/>
  <c r="V4" i="11"/>
  <c r="J13" i="11"/>
  <c r="R10" i="11"/>
  <c r="V11" i="11"/>
  <c r="I12" i="11"/>
  <c r="S6" i="11"/>
  <c r="N13" i="11"/>
  <c r="G3" i="11"/>
  <c r="M6" i="11"/>
  <c r="U7" i="11"/>
  <c r="N10" i="11"/>
  <c r="W5" i="11"/>
  <c r="K6" i="11"/>
  <c r="P4" i="11"/>
  <c r="Q2" i="11"/>
  <c r="H12" i="11"/>
  <c r="U3" i="11"/>
  <c r="F10" i="11"/>
  <c r="O4" i="11"/>
  <c r="M5" i="11"/>
  <c r="U13" i="11"/>
  <c r="H8" i="11"/>
  <c r="Q3" i="11"/>
  <c r="W4" i="11"/>
  <c r="P7" i="11"/>
  <c r="O12" i="11"/>
  <c r="Q10" i="11"/>
  <c r="O9" i="11"/>
  <c r="V5" i="11"/>
  <c r="O11" i="11"/>
  <c r="W9" i="11"/>
  <c r="K3" i="11"/>
  <c r="Q9" i="11"/>
  <c r="H9" i="11"/>
  <c r="F2" i="11"/>
  <c r="E17" i="11" l="1"/>
  <c r="M16" i="11"/>
  <c r="M17" i="11"/>
  <c r="M18" i="11"/>
  <c r="M19" i="11"/>
  <c r="R17" i="11"/>
  <c r="R18" i="11"/>
  <c r="R16" i="11"/>
  <c r="R19" i="11"/>
  <c r="S18" i="11"/>
  <c r="S17" i="11"/>
  <c r="S19" i="11"/>
  <c r="S16" i="11"/>
  <c r="L17" i="11"/>
  <c r="L18" i="11"/>
  <c r="L19" i="11"/>
  <c r="L16" i="11"/>
  <c r="N16" i="11"/>
  <c r="N18" i="11"/>
  <c r="N17" i="11"/>
  <c r="N19" i="11"/>
  <c r="W18" i="11"/>
  <c r="W19" i="11"/>
  <c r="W16" i="11"/>
  <c r="W17" i="11"/>
  <c r="V16" i="11"/>
  <c r="V17" i="11"/>
  <c r="V19" i="11"/>
  <c r="V18" i="11"/>
  <c r="U16" i="11"/>
  <c r="U17" i="11"/>
  <c r="U18" i="11"/>
  <c r="U19" i="11"/>
  <c r="P18" i="11"/>
  <c r="P19" i="11"/>
  <c r="P17" i="11"/>
  <c r="P16" i="11"/>
  <c r="D18" i="11"/>
  <c r="O18" i="11"/>
  <c r="O17" i="11"/>
  <c r="O19" i="11"/>
  <c r="O16" i="11"/>
  <c r="K16" i="11"/>
  <c r="K17" i="11"/>
  <c r="K18" i="11"/>
  <c r="K19" i="11"/>
  <c r="D17" i="11"/>
  <c r="G16" i="11"/>
  <c r="G17" i="11"/>
  <c r="G18" i="11"/>
  <c r="G19" i="11"/>
  <c r="D16" i="11"/>
  <c r="Q19" i="11"/>
  <c r="Q16" i="11"/>
  <c r="Q18" i="11"/>
  <c r="Q17" i="11"/>
  <c r="H16" i="11"/>
  <c r="H18" i="11"/>
  <c r="H17" i="11"/>
  <c r="H19" i="11"/>
  <c r="E19" i="11"/>
  <c r="I16" i="11"/>
  <c r="I17" i="11"/>
  <c r="I18" i="11"/>
  <c r="I19" i="11"/>
  <c r="E18" i="11"/>
  <c r="J17" i="11"/>
  <c r="J16" i="11"/>
  <c r="J18" i="11"/>
  <c r="J19" i="11"/>
  <c r="F17" i="11"/>
  <c r="F18" i="11"/>
  <c r="F16" i="11"/>
  <c r="F19" i="11"/>
  <c r="T16" i="11"/>
  <c r="T17" i="11"/>
  <c r="T18" i="11"/>
  <c r="T19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<sst xmlns="http://schemas.openxmlformats.org/spreadsheetml/2006/main" count="1310" uniqueCount="160">
  <si>
    <t>Request_text</t>
  </si>
  <si>
    <t>True category</t>
  </si>
  <si>
    <t>Predicted Category</t>
  </si>
  <si>
    <t>Feature List</t>
  </si>
  <si>
    <t>Accuracy</t>
  </si>
  <si>
    <t>green waste bags split open and rubbish has scattered on footpath</t>
  </si>
  <si>
    <t>graffiti on community centre wall has offensive wording</t>
  </si>
  <si>
    <t>bus shelter glass panel cracked and dangerous</t>
  </si>
  <si>
    <t>deep crack forming on footpath beside the primary school</t>
  </si>
  <si>
    <t>overhanging branch above the footpath looks unsafe</t>
  </si>
  <si>
    <t>standing water near play area may be a health risk</t>
  </si>
  <si>
    <t>mud and water pooling across the shared path after every shower</t>
  </si>
  <si>
    <t>dumped household items have been left beside the reserve fence</t>
  </si>
  <si>
    <t>blocked culvert causing water to back up along the roadside</t>
  </si>
  <si>
    <t>overflowing bin near bus stop is attracting birds and mess</t>
  </si>
  <si>
    <t>footpath surface has lifted and is becoming uneven</t>
  </si>
  <si>
    <t>stormwater grate is loose and making loud noise when buses pass</t>
  </si>
  <si>
    <t>waste</t>
  </si>
  <si>
    <t>safety</t>
  </si>
  <si>
    <t>road</t>
  </si>
  <si>
    <t>water</t>
  </si>
  <si>
    <t>access</t>
  </si>
  <si>
    <t>area</t>
  </si>
  <si>
    <t>bin</t>
  </si>
  <si>
    <t>blocked</t>
  </si>
  <si>
    <t>broken</t>
  </si>
  <si>
    <t>causing</t>
  </si>
  <si>
    <t>channel</t>
  </si>
  <si>
    <t>collection</t>
  </si>
  <si>
    <t>cover</t>
  </si>
  <si>
    <t>damaged</t>
  </si>
  <si>
    <t>days</t>
  </si>
  <si>
    <t>difficult</t>
  </si>
  <si>
    <t>drain</t>
  </si>
  <si>
    <t>drain cover</t>
  </si>
  <si>
    <t>entrance</t>
  </si>
  <si>
    <t>faded</t>
  </si>
  <si>
    <t>flowing</t>
  </si>
  <si>
    <t>footpath</t>
  </si>
  <si>
    <t>glass</t>
  </si>
  <si>
    <t>handrail</t>
  </si>
  <si>
    <t>homes</t>
  </si>
  <si>
    <t>kerb</t>
  </si>
  <si>
    <t>lane</t>
  </si>
  <si>
    <t>large</t>
  </si>
  <si>
    <t>leak</t>
  </si>
  <si>
    <t>left</t>
  </si>
  <si>
    <t>litter</t>
  </si>
  <si>
    <t>loose</t>
  </si>
  <si>
    <t>missed</t>
  </si>
  <si>
    <t>missing</t>
  </si>
  <si>
    <t>near</t>
  </si>
  <si>
    <t>near playground</t>
  </si>
  <si>
    <t>needs</t>
  </si>
  <si>
    <t>needs urgent</t>
  </si>
  <si>
    <t>night</t>
  </si>
  <si>
    <t>outside</t>
  </si>
  <si>
    <t>park</t>
  </si>
  <si>
    <t>pipe</t>
  </si>
  <si>
    <t>playground</t>
  </si>
  <si>
    <t>pothole</t>
  </si>
  <si>
    <t>public</t>
  </si>
  <si>
    <t>rain</t>
  </si>
  <si>
    <t>recycling</t>
  </si>
  <si>
    <t>reserve</t>
  </si>
  <si>
    <t>risk</t>
  </si>
  <si>
    <t>rubbish</t>
  </si>
  <si>
    <t>shops</t>
  </si>
  <si>
    <t>smell</t>
  </si>
  <si>
    <t>street</t>
  </si>
  <si>
    <t>streetlight</t>
  </si>
  <si>
    <t>strong</t>
  </si>
  <si>
    <t>surface</t>
  </si>
  <si>
    <t>traffic</t>
  </si>
  <si>
    <t>unsafe</t>
  </si>
  <si>
    <t>urgent</t>
  </si>
  <si>
    <t>walkway</t>
  </si>
  <si>
    <t>household rubbish dumped beside reserve entrance overnight</t>
  </si>
  <si>
    <t>faded lane markings are difficult to follow in wet weather</t>
  </si>
  <si>
    <t>continuous dripping from council tap in the reserve</t>
  </si>
  <si>
    <t>leak from irrigation line in park has created slippery surface</t>
  </si>
  <si>
    <t>road marking at the roundabout has faded and is hard to see at night</t>
  </si>
  <si>
    <t>loose paving stones at entrance to library are a trip hazard</t>
  </si>
  <si>
    <t>playground gate does not close properly and opens onto road</t>
  </si>
  <si>
    <t>dog waste bin is full and smell is getting worse</t>
  </si>
  <si>
    <t>bags</t>
  </si>
  <si>
    <t>bags split</t>
  </si>
  <si>
    <t>branch</t>
  </si>
  <si>
    <t>bus</t>
  </si>
  <si>
    <t>cracked</t>
  </si>
  <si>
    <t>fence</t>
  </si>
  <si>
    <t>footpath looks</t>
  </si>
  <si>
    <t>looks</t>
  </si>
  <si>
    <t>path</t>
  </si>
  <si>
    <t>school</t>
  </si>
  <si>
    <t>shelter</t>
  </si>
  <si>
    <t>split</t>
  </si>
  <si>
    <t>stormwater</t>
  </si>
  <si>
    <t>waste bags</t>
  </si>
  <si>
    <t>missing drain cover creates risk beside flowing water</t>
  </si>
  <si>
    <t>loose grating beside the carriageway rattles under traffic</t>
  </si>
  <si>
    <t>several potholes along school dropoff area need urgent repair</t>
  </si>
  <si>
    <t>stormwater drain blocked with leaves causing ponding after rain</t>
  </si>
  <si>
    <t>damaged kerb ramp makes wheelchair access difficult</t>
  </si>
  <si>
    <t>broken glass around the rubbish area near the playground</t>
  </si>
  <si>
    <t>illegal dumping of furniture behind the shops on ferry road</t>
  </si>
  <si>
    <t>damaged fence at reserve allows easy access to construction site</t>
  </si>
  <si>
    <t>attracting</t>
  </si>
  <si>
    <t>bus stop</t>
  </si>
  <si>
    <t>community</t>
  </si>
  <si>
    <t>dumped</t>
  </si>
  <si>
    <t>household</t>
  </si>
  <si>
    <t>overflowing</t>
  </si>
  <si>
    <t>stop</t>
  </si>
  <si>
    <t>water leak near the verge is running across the footpath</t>
  </si>
  <si>
    <t>streetlight failure has left the walkway dark at night</t>
  </si>
  <si>
    <t>recycling bins overflowing beside the community hall</t>
  </si>
  <si>
    <t>pothole developing near the intersection and drivers are swerving around it</t>
  </si>
  <si>
    <t>public litter bin in the park has not been emptied for days</t>
  </si>
  <si>
    <t>recycling was missed on collection day for several homes</t>
  </si>
  <si>
    <t>burst water main has reduced pressure in nearby homes</t>
  </si>
  <si>
    <t>loose metal on road shoulder is creating dust and safety risk</t>
  </si>
  <si>
    <t>handrail on pedestrian bridge is loose</t>
  </si>
  <si>
    <t>strong wastewater smell near the channel suggests a pipe issue</t>
  </si>
  <si>
    <t>litter around the park picnic area needs urgent cleanup</t>
  </si>
  <si>
    <t>broken curb stone on corner is blocking pram access</t>
  </si>
  <si>
    <t>water leaking from pipe near footpath and flowing onto road</t>
  </si>
  <si>
    <t>standing</t>
  </si>
  <si>
    <t>standing water</t>
  </si>
  <si>
    <t>cracked glass at the shelter is hazardous to the public</t>
  </si>
  <si>
    <t>broken swing chain at playground could injure children</t>
  </si>
  <si>
    <t>drain cover missing and water channel exposed beside kerb</t>
  </si>
  <si>
    <t>blocked drain is causing surface flooding after rain</t>
  </si>
  <si>
    <t>waste bags have split and contents are spread across the path</t>
  </si>
  <si>
    <t>street sign has fallen over after strong winds</t>
  </si>
  <si>
    <t>poor lighting in alleyway behind shops is attracting unsafe behaviour</t>
  </si>
  <si>
    <t>recycling crate was not collected even though it was placed out on time</t>
  </si>
  <si>
    <t>large branch hanging over footpath looks like it may fall</t>
  </si>
  <si>
    <t>loose handrail on stairs needs urgent attention</t>
  </si>
  <si>
    <t>standing water remains near the playground for days</t>
  </si>
  <si>
    <t>glass and loose gravel left on cycle lane near hagley park</t>
  </si>
  <si>
    <t>broken playground equipment could cause injury</t>
  </si>
  <si>
    <t>Summary</t>
  </si>
  <si>
    <t>Min</t>
  </si>
  <si>
    <t>Max</t>
  </si>
  <si>
    <t>Average</t>
  </si>
  <si>
    <t>Test</t>
  </si>
  <si>
    <t>rand_42</t>
  </si>
  <si>
    <t>rand_1</t>
  </si>
  <si>
    <t>rand_2</t>
  </si>
  <si>
    <t>rand_3</t>
  </si>
  <si>
    <t>rand_4</t>
  </si>
  <si>
    <t>rand_5</t>
  </si>
  <si>
    <t>rand_6</t>
  </si>
  <si>
    <t>rand_7</t>
  </si>
  <si>
    <t>rand_8</t>
  </si>
  <si>
    <t>rand_9</t>
  </si>
  <si>
    <t>Test #</t>
  </si>
  <si>
    <t>Prediction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</si>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</sst>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90B7-A0CE-4205-8090-B9CAD544B5CF}">
  <dimension ref="A1:M120"/>
  <sheetViews>
    <sheetView tabSelected="1" workbookViewId="0">
      <selection activeCell="K14" sqref="K14"/>
    </sheetView>
  </sheetViews>
  <sheetFormatPr defaultRowHeight="14.4" x14ac:dyDescent="0.3"/>
  <cols>
    <col min="4" max="4" width="8.21875" bestFit="1" customWidth="1"/>
    <col min="5" max="5" width="7.77734375" bestFit="1" customWidth="1"/>
    <col min="6" max="19" width="6.77734375" bestFit="1" customWidth="1"/>
  </cols>
  <sheetData>
    <row r="1" spans="1:13" x14ac:dyDescent="0.3">
      <c r="A1" t="s">
        <v>17</v>
      </c>
      <c r="B1" t="s">
        <v>17</v>
      </c>
      <c r="J1" t="s">
        <v>158</v>
      </c>
    </row>
    <row r="2" spans="1:13" x14ac:dyDescent="0.3">
      <c r="A2" t="s">
        <v>18</v>
      </c>
      <c r="B2" t="s">
        <v>18</v>
      </c>
      <c r="J2" t="s">
        <v>19</v>
      </c>
      <c r="K2" t="s">
        <v>17</v>
      </c>
      <c r="L2" t="s">
        <v>18</v>
      </c>
      <c r="M2" t="s">
        <v>20</v>
      </c>
    </row>
    <row r="3" spans="1:13" x14ac:dyDescent="0.3">
      <c r="A3" t="s">
        <v>18</v>
      </c>
      <c r="B3" t="s">
        <v>18</v>
      </c>
      <c r="H3" t="s">
        <v>159</v>
      </c>
      <c r="I3" t="s">
        <v>19</v>
      </c>
      <c r="J3">
        <f>COUNTIFS($B:$B,J$2,$A:$A,$I3)</f>
        <v>8</v>
      </c>
      <c r="K3">
        <f>COUNTIFS($B:$B,K$2,$A:$A,$I3)</f>
        <v>4</v>
      </c>
      <c r="L3">
        <f>COUNTIFS($B:$B,L$2,$A:$A,$I3)</f>
        <v>12</v>
      </c>
      <c r="M3">
        <f>COUNTIFS($B:$B,M$2,$A:$A,$I3)</f>
        <v>6</v>
      </c>
    </row>
    <row r="4" spans="1:13" x14ac:dyDescent="0.3">
      <c r="A4" t="s">
        <v>19</v>
      </c>
      <c r="B4" t="s">
        <v>18</v>
      </c>
      <c r="I4" t="s">
        <v>17</v>
      </c>
      <c r="J4">
        <f>COUNTIFS($B:$B,J$2,$A:$A,$I4)</f>
        <v>2</v>
      </c>
      <c r="K4">
        <f>COUNTIFS($B:$B,K$2,$A:$A,$I4)</f>
        <v>20</v>
      </c>
      <c r="L4">
        <f>COUNTIFS($B:$B,L$2,$A:$A,$I4)</f>
        <v>8</v>
      </c>
      <c r="M4">
        <f>COUNTIFS($B:$B,M$2,$A:$A,$I4)</f>
        <v>0</v>
      </c>
    </row>
    <row r="5" spans="1:13" x14ac:dyDescent="0.3">
      <c r="A5" t="s">
        <v>18</v>
      </c>
      <c r="B5" t="s">
        <v>18</v>
      </c>
      <c r="I5" t="s">
        <v>18</v>
      </c>
      <c r="J5">
        <f>COUNTIFS($B:$B,J$2,$A:$A,$I5)</f>
        <v>9</v>
      </c>
      <c r="K5">
        <f>COUNTIFS($B:$B,K$2,$A:$A,$I5)</f>
        <v>2</v>
      </c>
      <c r="L5">
        <f>COUNTIFS($B:$B,L$2,$A:$A,$I5)</f>
        <v>18</v>
      </c>
      <c r="M5">
        <f>COUNTIFS($B:$B,M$2,$A:$A,$I5)</f>
        <v>1</v>
      </c>
    </row>
    <row r="6" spans="1:13" x14ac:dyDescent="0.3">
      <c r="A6" t="s">
        <v>20</v>
      </c>
      <c r="B6" t="s">
        <v>20</v>
      </c>
      <c r="I6" t="s">
        <v>20</v>
      </c>
      <c r="J6">
        <f>COUNTIFS($B:$B,J$2,$A:$A,$I6)</f>
        <v>1</v>
      </c>
      <c r="K6">
        <f>COUNTIFS($B:$B,K$2,$A:$A,$I6)</f>
        <v>4</v>
      </c>
      <c r="L6">
        <f>COUNTIFS($B:$B,L$2,$A:$A,$I6)</f>
        <v>0</v>
      </c>
      <c r="M6">
        <f>COUNTIFS($B:$B,M$2,$A:$A,$I6)</f>
        <v>25</v>
      </c>
    </row>
    <row r="7" spans="1:13" x14ac:dyDescent="0.3">
      <c r="A7" t="s">
        <v>20</v>
      </c>
      <c r="B7" t="s">
        <v>20</v>
      </c>
    </row>
    <row r="8" spans="1:13" x14ac:dyDescent="0.3">
      <c r="A8" t="s">
        <v>17</v>
      </c>
      <c r="B8" t="s">
        <v>18</v>
      </c>
    </row>
    <row r="9" spans="1:13" x14ac:dyDescent="0.3">
      <c r="A9" t="s">
        <v>20</v>
      </c>
      <c r="B9" t="s">
        <v>20</v>
      </c>
    </row>
    <row r="10" spans="1:13" x14ac:dyDescent="0.3">
      <c r="A10" t="s">
        <v>17</v>
      </c>
      <c r="B10" t="s">
        <v>17</v>
      </c>
    </row>
    <row r="11" spans="1:13" x14ac:dyDescent="0.3">
      <c r="A11" t="s">
        <v>19</v>
      </c>
      <c r="B11" t="s">
        <v>20</v>
      </c>
    </row>
    <row r="12" spans="1:13" x14ac:dyDescent="0.3">
      <c r="A12" t="s">
        <v>19</v>
      </c>
      <c r="B12" t="s">
        <v>18</v>
      </c>
    </row>
    <row r="13" spans="1:13" x14ac:dyDescent="0.3">
      <c r="A13" t="s">
        <v>17</v>
      </c>
      <c r="B13" t="s">
        <v>17</v>
      </c>
    </row>
    <row r="14" spans="1:13" x14ac:dyDescent="0.3">
      <c r="A14" t="s">
        <v>19</v>
      </c>
      <c r="B14" t="s">
        <v>18</v>
      </c>
    </row>
    <row r="15" spans="1:13" x14ac:dyDescent="0.3">
      <c r="A15" t="s">
        <v>19</v>
      </c>
      <c r="B15" t="s">
        <v>18</v>
      </c>
    </row>
    <row r="16" spans="1:13" x14ac:dyDescent="0.3">
      <c r="A16" t="s">
        <v>17</v>
      </c>
      <c r="B16" t="s">
        <v>17</v>
      </c>
    </row>
    <row r="17" spans="1:10" x14ac:dyDescent="0.3">
      <c r="A17" t="s">
        <v>20</v>
      </c>
      <c r="B17" t="s">
        <v>17</v>
      </c>
    </row>
    <row r="18" spans="1:10" x14ac:dyDescent="0.3">
      <c r="A18" t="s">
        <v>18</v>
      </c>
      <c r="B18" t="s">
        <v>18</v>
      </c>
    </row>
    <row r="19" spans="1:10" x14ac:dyDescent="0.3">
      <c r="A19" t="s">
        <v>20</v>
      </c>
      <c r="B19" t="s">
        <v>17</v>
      </c>
    </row>
    <row r="20" spans="1:10" x14ac:dyDescent="0.3">
      <c r="A20" t="s">
        <v>19</v>
      </c>
      <c r="B20" t="s">
        <v>17</v>
      </c>
    </row>
    <row r="21" spans="1:10" x14ac:dyDescent="0.3">
      <c r="A21" t="s">
        <v>20</v>
      </c>
      <c r="B21" t="s">
        <v>20</v>
      </c>
    </row>
    <row r="22" spans="1:10" x14ac:dyDescent="0.3">
      <c r="A22" t="s">
        <v>18</v>
      </c>
      <c r="B22" t="s">
        <v>19</v>
      </c>
    </row>
    <row r="23" spans="1:10" x14ac:dyDescent="0.3">
      <c r="A23" t="s">
        <v>18</v>
      </c>
      <c r="B23" t="s">
        <v>18</v>
      </c>
    </row>
    <row r="24" spans="1:10" x14ac:dyDescent="0.3">
      <c r="A24" t="s">
        <v>17</v>
      </c>
      <c r="B24" t="s">
        <v>17</v>
      </c>
    </row>
    <row r="25" spans="1:10" x14ac:dyDescent="0.3">
      <c r="A25" t="s">
        <v>18</v>
      </c>
      <c r="B25" t="s">
        <v>18</v>
      </c>
    </row>
    <row r="26" spans="1:10" x14ac:dyDescent="0.3">
      <c r="A26" t="s">
        <v>20</v>
      </c>
      <c r="B26" t="s">
        <v>20</v>
      </c>
    </row>
    <row r="27" spans="1:10" x14ac:dyDescent="0.3">
      <c r="A27" t="s">
        <v>19</v>
      </c>
      <c r="B27" t="s">
        <v>19</v>
      </c>
    </row>
    <row r="28" spans="1:10" x14ac:dyDescent="0.3">
      <c r="A28" t="s">
        <v>19</v>
      </c>
      <c r="B28" t="s">
        <v>18</v>
      </c>
      <c r="D28" s="1"/>
      <c r="E28" s="1"/>
      <c r="F28" s="1"/>
      <c r="G28" s="1"/>
      <c r="H28" s="1"/>
      <c r="I28" s="1"/>
      <c r="J28" s="1"/>
    </row>
    <row r="29" spans="1:10" x14ac:dyDescent="0.3">
      <c r="A29" t="s">
        <v>20</v>
      </c>
      <c r="B29" t="s">
        <v>20</v>
      </c>
    </row>
    <row r="30" spans="1:10" x14ac:dyDescent="0.3">
      <c r="A30" t="s">
        <v>19</v>
      </c>
      <c r="B30" t="s">
        <v>19</v>
      </c>
    </row>
    <row r="31" spans="1:10" x14ac:dyDescent="0.3">
      <c r="A31" t="s">
        <v>17</v>
      </c>
      <c r="B31" t="s">
        <v>18</v>
      </c>
    </row>
    <row r="32" spans="1:10" x14ac:dyDescent="0.3">
      <c r="A32" t="s">
        <v>17</v>
      </c>
      <c r="B32" t="s">
        <v>19</v>
      </c>
    </row>
    <row r="33" spans="1:2" x14ac:dyDescent="0.3">
      <c r="A33" t="s">
        <v>18</v>
      </c>
      <c r="B33" t="s">
        <v>20</v>
      </c>
    </row>
    <row r="34" spans="1:2" x14ac:dyDescent="0.3">
      <c r="A34" t="s">
        <v>18</v>
      </c>
      <c r="B34" t="s">
        <v>18</v>
      </c>
    </row>
    <row r="35" spans="1:2" x14ac:dyDescent="0.3">
      <c r="A35" t="s">
        <v>17</v>
      </c>
      <c r="B35" t="s">
        <v>17</v>
      </c>
    </row>
    <row r="36" spans="1:2" x14ac:dyDescent="0.3">
      <c r="A36" t="s">
        <v>20</v>
      </c>
      <c r="B36" t="s">
        <v>20</v>
      </c>
    </row>
    <row r="37" spans="1:2" x14ac:dyDescent="0.3">
      <c r="A37" t="s">
        <v>20</v>
      </c>
      <c r="B37" t="s">
        <v>20</v>
      </c>
    </row>
    <row r="38" spans="1:2" x14ac:dyDescent="0.3">
      <c r="A38" t="s">
        <v>18</v>
      </c>
      <c r="B38" t="s">
        <v>19</v>
      </c>
    </row>
    <row r="39" spans="1:2" x14ac:dyDescent="0.3">
      <c r="A39" t="s">
        <v>17</v>
      </c>
      <c r="B39" t="s">
        <v>18</v>
      </c>
    </row>
    <row r="40" spans="1:2" x14ac:dyDescent="0.3">
      <c r="A40" t="s">
        <v>19</v>
      </c>
      <c r="B40" t="s">
        <v>20</v>
      </c>
    </row>
    <row r="41" spans="1:2" x14ac:dyDescent="0.3">
      <c r="A41" t="s">
        <v>17</v>
      </c>
      <c r="B41" t="s">
        <v>17</v>
      </c>
    </row>
    <row r="42" spans="1:2" x14ac:dyDescent="0.3">
      <c r="A42" t="s">
        <v>18</v>
      </c>
      <c r="B42" t="s">
        <v>18</v>
      </c>
    </row>
    <row r="43" spans="1:2" x14ac:dyDescent="0.3">
      <c r="A43" t="s">
        <v>20</v>
      </c>
      <c r="B43" t="s">
        <v>20</v>
      </c>
    </row>
    <row r="44" spans="1:2" x14ac:dyDescent="0.3">
      <c r="A44" t="s">
        <v>18</v>
      </c>
      <c r="B44" t="s">
        <v>18</v>
      </c>
    </row>
    <row r="45" spans="1:2" x14ac:dyDescent="0.3">
      <c r="A45" t="s">
        <v>17</v>
      </c>
      <c r="B45" t="s">
        <v>18</v>
      </c>
    </row>
    <row r="46" spans="1:2" x14ac:dyDescent="0.3">
      <c r="A46" t="s">
        <v>19</v>
      </c>
      <c r="B46" t="s">
        <v>17</v>
      </c>
    </row>
    <row r="47" spans="1:2" x14ac:dyDescent="0.3">
      <c r="A47" t="s">
        <v>20</v>
      </c>
      <c r="B47" t="s">
        <v>20</v>
      </c>
    </row>
    <row r="48" spans="1:2" x14ac:dyDescent="0.3">
      <c r="A48" t="s">
        <v>19</v>
      </c>
      <c r="B48" t="s">
        <v>19</v>
      </c>
    </row>
    <row r="49" spans="1:2" x14ac:dyDescent="0.3">
      <c r="A49" t="s">
        <v>18</v>
      </c>
      <c r="B49" t="s">
        <v>18</v>
      </c>
    </row>
    <row r="50" spans="1:2" x14ac:dyDescent="0.3">
      <c r="A50" t="s">
        <v>18</v>
      </c>
      <c r="B50" t="s">
        <v>19</v>
      </c>
    </row>
    <row r="51" spans="1:2" x14ac:dyDescent="0.3">
      <c r="A51" t="s">
        <v>20</v>
      </c>
      <c r="B51" t="s">
        <v>20</v>
      </c>
    </row>
    <row r="52" spans="1:2" x14ac:dyDescent="0.3">
      <c r="A52" t="s">
        <v>17</v>
      </c>
      <c r="B52" t="s">
        <v>17</v>
      </c>
    </row>
    <row r="53" spans="1:2" x14ac:dyDescent="0.3">
      <c r="A53" t="s">
        <v>19</v>
      </c>
      <c r="B53" t="s">
        <v>20</v>
      </c>
    </row>
    <row r="54" spans="1:2" x14ac:dyDescent="0.3">
      <c r="A54" t="s">
        <v>19</v>
      </c>
      <c r="B54" t="s">
        <v>17</v>
      </c>
    </row>
    <row r="55" spans="1:2" x14ac:dyDescent="0.3">
      <c r="A55" t="s">
        <v>18</v>
      </c>
      <c r="B55" t="s">
        <v>18</v>
      </c>
    </row>
    <row r="56" spans="1:2" x14ac:dyDescent="0.3">
      <c r="A56" t="s">
        <v>17</v>
      </c>
      <c r="B56" t="s">
        <v>17</v>
      </c>
    </row>
    <row r="57" spans="1:2" x14ac:dyDescent="0.3">
      <c r="A57" t="s">
        <v>17</v>
      </c>
      <c r="B57" t="s">
        <v>19</v>
      </c>
    </row>
    <row r="58" spans="1:2" x14ac:dyDescent="0.3">
      <c r="A58" t="s">
        <v>20</v>
      </c>
      <c r="B58" t="s">
        <v>20</v>
      </c>
    </row>
    <row r="59" spans="1:2" x14ac:dyDescent="0.3">
      <c r="A59" t="s">
        <v>19</v>
      </c>
      <c r="B59" t="s">
        <v>18</v>
      </c>
    </row>
    <row r="60" spans="1:2" x14ac:dyDescent="0.3">
      <c r="A60" t="s">
        <v>20</v>
      </c>
      <c r="B60" t="s">
        <v>20</v>
      </c>
    </row>
    <row r="61" spans="1:2" x14ac:dyDescent="0.3">
      <c r="A61" t="s">
        <v>18</v>
      </c>
      <c r="B61" t="s">
        <v>18</v>
      </c>
    </row>
    <row r="62" spans="1:2" x14ac:dyDescent="0.3">
      <c r="A62" t="s">
        <v>20</v>
      </c>
      <c r="B62" t="s">
        <v>20</v>
      </c>
    </row>
    <row r="63" spans="1:2" x14ac:dyDescent="0.3">
      <c r="A63" t="s">
        <v>19</v>
      </c>
      <c r="B63" t="s">
        <v>18</v>
      </c>
    </row>
    <row r="64" spans="1:2" x14ac:dyDescent="0.3">
      <c r="A64" t="s">
        <v>20</v>
      </c>
      <c r="B64" t="s">
        <v>17</v>
      </c>
    </row>
    <row r="65" spans="1:2" x14ac:dyDescent="0.3">
      <c r="A65" t="s">
        <v>17</v>
      </c>
      <c r="B65" t="s">
        <v>17</v>
      </c>
    </row>
    <row r="66" spans="1:2" x14ac:dyDescent="0.3">
      <c r="A66" t="s">
        <v>18</v>
      </c>
      <c r="B66" t="s">
        <v>17</v>
      </c>
    </row>
    <row r="67" spans="1:2" x14ac:dyDescent="0.3">
      <c r="A67" t="s">
        <v>17</v>
      </c>
      <c r="B67" t="s">
        <v>17</v>
      </c>
    </row>
    <row r="68" spans="1:2" x14ac:dyDescent="0.3">
      <c r="A68" t="s">
        <v>18</v>
      </c>
      <c r="B68" t="s">
        <v>18</v>
      </c>
    </row>
    <row r="69" spans="1:2" x14ac:dyDescent="0.3">
      <c r="A69" t="s">
        <v>19</v>
      </c>
      <c r="B69" t="s">
        <v>19</v>
      </c>
    </row>
    <row r="70" spans="1:2" x14ac:dyDescent="0.3">
      <c r="A70" t="s">
        <v>20</v>
      </c>
      <c r="B70" t="s">
        <v>20</v>
      </c>
    </row>
    <row r="71" spans="1:2" x14ac:dyDescent="0.3">
      <c r="A71" t="s">
        <v>17</v>
      </c>
      <c r="B71" t="s">
        <v>18</v>
      </c>
    </row>
    <row r="72" spans="1:2" x14ac:dyDescent="0.3">
      <c r="A72" t="s">
        <v>19</v>
      </c>
      <c r="B72" t="s">
        <v>18</v>
      </c>
    </row>
    <row r="73" spans="1:2" x14ac:dyDescent="0.3">
      <c r="A73" t="s">
        <v>20</v>
      </c>
      <c r="B73" t="s">
        <v>17</v>
      </c>
    </row>
    <row r="74" spans="1:2" x14ac:dyDescent="0.3">
      <c r="A74" t="s">
        <v>17</v>
      </c>
      <c r="B74" t="s">
        <v>17</v>
      </c>
    </row>
    <row r="75" spans="1:2" x14ac:dyDescent="0.3">
      <c r="A75" t="s">
        <v>19</v>
      </c>
      <c r="B75" t="s">
        <v>19</v>
      </c>
    </row>
    <row r="76" spans="1:2" x14ac:dyDescent="0.3">
      <c r="A76" t="s">
        <v>20</v>
      </c>
      <c r="B76" t="s">
        <v>20</v>
      </c>
    </row>
    <row r="77" spans="1:2" x14ac:dyDescent="0.3">
      <c r="A77" t="s">
        <v>20</v>
      </c>
      <c r="B77" t="s">
        <v>20</v>
      </c>
    </row>
    <row r="78" spans="1:2" x14ac:dyDescent="0.3">
      <c r="A78" t="s">
        <v>18</v>
      </c>
      <c r="B78" t="s">
        <v>18</v>
      </c>
    </row>
    <row r="79" spans="1:2" x14ac:dyDescent="0.3">
      <c r="A79" t="s">
        <v>17</v>
      </c>
      <c r="B79" t="s">
        <v>17</v>
      </c>
    </row>
    <row r="80" spans="1:2" x14ac:dyDescent="0.3">
      <c r="A80" t="s">
        <v>18</v>
      </c>
      <c r="B80" t="s">
        <v>19</v>
      </c>
    </row>
    <row r="81" spans="1:2" x14ac:dyDescent="0.3">
      <c r="A81" t="s">
        <v>19</v>
      </c>
      <c r="B81" t="s">
        <v>19</v>
      </c>
    </row>
    <row r="82" spans="1:2" x14ac:dyDescent="0.3">
      <c r="A82" t="s">
        <v>18</v>
      </c>
      <c r="B82" t="s">
        <v>18</v>
      </c>
    </row>
    <row r="83" spans="1:2" x14ac:dyDescent="0.3">
      <c r="A83" t="s">
        <v>17</v>
      </c>
      <c r="B83" t="s">
        <v>18</v>
      </c>
    </row>
    <row r="84" spans="1:2" x14ac:dyDescent="0.3">
      <c r="A84" t="s">
        <v>19</v>
      </c>
      <c r="B84" t="s">
        <v>20</v>
      </c>
    </row>
    <row r="85" spans="1:2" x14ac:dyDescent="0.3">
      <c r="A85" t="s">
        <v>19</v>
      </c>
      <c r="B85" t="s">
        <v>20</v>
      </c>
    </row>
    <row r="86" spans="1:2" x14ac:dyDescent="0.3">
      <c r="A86" t="s">
        <v>19</v>
      </c>
      <c r="B86" t="s">
        <v>18</v>
      </c>
    </row>
    <row r="87" spans="1:2" x14ac:dyDescent="0.3">
      <c r="A87" t="s">
        <v>19</v>
      </c>
      <c r="B87" t="s">
        <v>18</v>
      </c>
    </row>
    <row r="88" spans="1:2" x14ac:dyDescent="0.3">
      <c r="A88" t="s">
        <v>20</v>
      </c>
      <c r="B88" t="s">
        <v>20</v>
      </c>
    </row>
    <row r="89" spans="1:2" x14ac:dyDescent="0.3">
      <c r="A89" t="s">
        <v>18</v>
      </c>
      <c r="B89" t="s">
        <v>18</v>
      </c>
    </row>
    <row r="90" spans="1:2" x14ac:dyDescent="0.3">
      <c r="A90" t="s">
        <v>20</v>
      </c>
      <c r="B90" t="s">
        <v>20</v>
      </c>
    </row>
    <row r="91" spans="1:2" x14ac:dyDescent="0.3">
      <c r="A91" t="s">
        <v>18</v>
      </c>
      <c r="B91" t="s">
        <v>18</v>
      </c>
    </row>
    <row r="92" spans="1:2" x14ac:dyDescent="0.3">
      <c r="A92" t="s">
        <v>20</v>
      </c>
      <c r="B92" t="s">
        <v>20</v>
      </c>
    </row>
    <row r="93" spans="1:2" x14ac:dyDescent="0.3">
      <c r="A93" t="s">
        <v>17</v>
      </c>
      <c r="B93" t="s">
        <v>17</v>
      </c>
    </row>
    <row r="94" spans="1:2" x14ac:dyDescent="0.3">
      <c r="A94" t="s">
        <v>17</v>
      </c>
      <c r="B94" t="s">
        <v>17</v>
      </c>
    </row>
    <row r="95" spans="1:2" x14ac:dyDescent="0.3">
      <c r="A95" t="s">
        <v>18</v>
      </c>
      <c r="B95" t="s">
        <v>19</v>
      </c>
    </row>
    <row r="96" spans="1:2" x14ac:dyDescent="0.3">
      <c r="A96" t="s">
        <v>17</v>
      </c>
      <c r="B96" t="s">
        <v>17</v>
      </c>
    </row>
    <row r="97" spans="1:2" x14ac:dyDescent="0.3">
      <c r="A97" t="s">
        <v>18</v>
      </c>
      <c r="B97" t="s">
        <v>19</v>
      </c>
    </row>
    <row r="98" spans="1:2" x14ac:dyDescent="0.3">
      <c r="A98" t="s">
        <v>17</v>
      </c>
      <c r="B98" t="s">
        <v>17</v>
      </c>
    </row>
    <row r="99" spans="1:2" x14ac:dyDescent="0.3">
      <c r="A99" t="s">
        <v>17</v>
      </c>
      <c r="B99" t="s">
        <v>18</v>
      </c>
    </row>
    <row r="100" spans="1:2" x14ac:dyDescent="0.3">
      <c r="A100" t="s">
        <v>17</v>
      </c>
      <c r="B100" t="s">
        <v>18</v>
      </c>
    </row>
    <row r="101" spans="1:2" x14ac:dyDescent="0.3">
      <c r="A101" t="s">
        <v>20</v>
      </c>
      <c r="B101" t="s">
        <v>20</v>
      </c>
    </row>
    <row r="102" spans="1:2" x14ac:dyDescent="0.3">
      <c r="A102" t="s">
        <v>18</v>
      </c>
      <c r="B102" t="s">
        <v>19</v>
      </c>
    </row>
    <row r="103" spans="1:2" x14ac:dyDescent="0.3">
      <c r="A103" t="s">
        <v>19</v>
      </c>
      <c r="B103" t="s">
        <v>19</v>
      </c>
    </row>
    <row r="104" spans="1:2" x14ac:dyDescent="0.3">
      <c r="A104" t="s">
        <v>18</v>
      </c>
      <c r="B104" t="s">
        <v>18</v>
      </c>
    </row>
    <row r="105" spans="1:2" x14ac:dyDescent="0.3">
      <c r="A105" t="s">
        <v>19</v>
      </c>
      <c r="B105" t="s">
        <v>20</v>
      </c>
    </row>
    <row r="106" spans="1:2" x14ac:dyDescent="0.3">
      <c r="A106" t="s">
        <v>20</v>
      </c>
      <c r="B106" t="s">
        <v>19</v>
      </c>
    </row>
    <row r="107" spans="1:2" x14ac:dyDescent="0.3">
      <c r="A107" t="s">
        <v>20</v>
      </c>
      <c r="B107" t="s">
        <v>20</v>
      </c>
    </row>
    <row r="108" spans="1:2" x14ac:dyDescent="0.3">
      <c r="A108" t="s">
        <v>19</v>
      </c>
      <c r="B108" t="s">
        <v>19</v>
      </c>
    </row>
    <row r="109" spans="1:2" x14ac:dyDescent="0.3">
      <c r="A109" t="s">
        <v>20</v>
      </c>
      <c r="B109" t="s">
        <v>20</v>
      </c>
    </row>
    <row r="110" spans="1:2" x14ac:dyDescent="0.3">
      <c r="A110" t="s">
        <v>20</v>
      </c>
      <c r="B110" t="s">
        <v>20</v>
      </c>
    </row>
    <row r="111" spans="1:2" x14ac:dyDescent="0.3">
      <c r="A111" t="s">
        <v>17</v>
      </c>
      <c r="B111" t="s">
        <v>17</v>
      </c>
    </row>
    <row r="112" spans="1:2" x14ac:dyDescent="0.3">
      <c r="A112" t="s">
        <v>18</v>
      </c>
      <c r="B112" t="s">
        <v>19</v>
      </c>
    </row>
    <row r="113" spans="1:2" x14ac:dyDescent="0.3">
      <c r="A113" t="s">
        <v>18</v>
      </c>
      <c r="B113" t="s">
        <v>19</v>
      </c>
    </row>
    <row r="114" spans="1:2" x14ac:dyDescent="0.3">
      <c r="A114" t="s">
        <v>19</v>
      </c>
      <c r="B114" t="s">
        <v>18</v>
      </c>
    </row>
    <row r="115" spans="1:2" x14ac:dyDescent="0.3">
      <c r="A115" t="s">
        <v>20</v>
      </c>
      <c r="B115" t="s">
        <v>20</v>
      </c>
    </row>
    <row r="116" spans="1:2" x14ac:dyDescent="0.3">
      <c r="A116" t="s">
        <v>19</v>
      </c>
      <c r="B116" t="s">
        <v>17</v>
      </c>
    </row>
    <row r="117" spans="1:2" x14ac:dyDescent="0.3">
      <c r="A117" t="s">
        <v>18</v>
      </c>
      <c r="B117" t="s">
        <v>17</v>
      </c>
    </row>
    <row r="118" spans="1:2" x14ac:dyDescent="0.3">
      <c r="A118" t="s">
        <v>19</v>
      </c>
      <c r="B118" t="s">
        <v>18</v>
      </c>
    </row>
    <row r="119" spans="1:2" x14ac:dyDescent="0.3">
      <c r="A119" t="s">
        <v>17</v>
      </c>
      <c r="B119" t="s">
        <v>17</v>
      </c>
    </row>
    <row r="120" spans="1:2" x14ac:dyDescent="0.3">
      <c r="A120" t="s">
        <v>17</v>
      </c>
      <c r="B12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576B-4601-404F-A174-823BF0301A82}">
  <dimension ref="A1:W19"/>
  <sheetViews>
    <sheetView workbookViewId="0">
      <selection activeCell="E16" sqref="E16"/>
    </sheetView>
  </sheetViews>
  <sheetFormatPr defaultRowHeight="14.4" x14ac:dyDescent="0.3"/>
  <cols>
    <col min="4" max="5" width="7.77734375" bestFit="1" customWidth="1"/>
    <col min="6" max="19" width="6.77734375" bestFit="1" customWidth="1"/>
  </cols>
  <sheetData>
    <row r="1" spans="1:23" x14ac:dyDescent="0.3">
      <c r="A1" t="s">
        <v>142</v>
      </c>
      <c r="C1" t="s">
        <v>157</v>
      </c>
      <c r="D1" t="s">
        <v>147</v>
      </c>
      <c r="E1" t="s">
        <v>147</v>
      </c>
      <c r="F1" t="s">
        <v>148</v>
      </c>
      <c r="G1" t="s">
        <v>148</v>
      </c>
      <c r="H1" t="s">
        <v>149</v>
      </c>
      <c r="I1" t="s">
        <v>149</v>
      </c>
      <c r="J1" t="s">
        <v>150</v>
      </c>
      <c r="K1" t="s">
        <v>150</v>
      </c>
      <c r="L1" t="s">
        <v>151</v>
      </c>
      <c r="M1" t="s">
        <v>151</v>
      </c>
      <c r="N1" t="s">
        <v>152</v>
      </c>
      <c r="O1" t="s">
        <v>152</v>
      </c>
      <c r="P1" t="s">
        <v>153</v>
      </c>
      <c r="Q1" t="s">
        <v>153</v>
      </c>
      <c r="R1" t="s">
        <v>154</v>
      </c>
      <c r="S1" t="s">
        <v>154</v>
      </c>
      <c r="T1" t="s">
        <v>155</v>
      </c>
      <c r="U1" t="s">
        <v>155</v>
      </c>
      <c r="V1" t="s">
        <v>156</v>
      </c>
      <c r="W1" t="s">
        <v>156</v>
      </c>
    </row>
    <row r="2" spans="1:23" x14ac:dyDescent="0.3">
      <c r="A2" t="s">
        <v>146</v>
      </c>
      <c r="B2" t="s">
        <v>4</v>
      </c>
      <c r="C2">
        <v>1</v>
      </c>
      <c r="D2" t="str" cm="1">
        <f t="array" aca="1" ref="D2" ca="1">INDIRECT("'"&amp;D$1&amp;"'!" &amp; ADDRESS($C2+1,3))</f>
        <v>waste</v>
      </c>
      <c r="E2" t="str" cm="1">
        <f t="array" aca="1" ref="E2" ca="1">INDIRECT("'"&amp;E$1&amp;"'!" &amp; ADDRESS($C2+1,4))</f>
        <v>waste</v>
      </c>
      <c r="F2" t="str" cm="1">
        <f t="array" aca="1" ref="F2" ca="1">INDIRECT("'"&amp;F$1&amp;"'!" &amp; ADDRESS($C2+1,3))</f>
        <v>waste</v>
      </c>
      <c r="G2" t="str" cm="1">
        <f t="array" aca="1" ref="G2" ca="1">INDIRECT("'"&amp;G$1&amp;"'!" &amp; ADDRESS($C2+1,4))</f>
        <v>waste</v>
      </c>
      <c r="H2" t="str" cm="1">
        <f t="array" aca="1" ref="H2" ca="1">INDIRECT("'"&amp;H$1&amp;"'!" &amp; ADDRESS($C2+1,3))</f>
        <v>safety</v>
      </c>
      <c r="I2" t="str" cm="1">
        <f t="array" aca="1" ref="I2" ca="1">INDIRECT("'"&amp;I$1&amp;"'!" &amp; ADDRESS($C2+1,4))</f>
        <v>safety</v>
      </c>
      <c r="J2" t="str" cm="1">
        <f t="array" aca="1" ref="J2" ca="1">INDIRECT("'"&amp;J$1&amp;"'!" &amp; ADDRESS($C2+1,3))</f>
        <v>water</v>
      </c>
      <c r="K2" t="str" cm="1">
        <f t="array" aca="1" ref="K2" ca="1">INDIRECT("'"&amp;K$1&amp;"'!" &amp; ADDRESS($C2+1,4))</f>
        <v>water</v>
      </c>
      <c r="L2" t="str" cm="1">
        <f t="array" aca="1" ref="L2" ca="1">INDIRECT("'"&amp;L$1&amp;"'!" &amp; ADDRESS($C2+1,3))</f>
        <v>safety</v>
      </c>
      <c r="M2" t="str" cm="1">
        <f t="array" aca="1" ref="M2" ca="1">INDIRECT("'"&amp;M$1&amp;"'!" &amp; ADDRESS($C2+1,4))</f>
        <v>safety</v>
      </c>
      <c r="N2" t="str" cm="1">
        <f t="array" aca="1" ref="N2" ca="1">INDIRECT("'"&amp;N$1&amp;"'!" &amp; ADDRESS($C2+1,3))</f>
        <v>safety</v>
      </c>
      <c r="O2" t="str" cm="1">
        <f t="array" aca="1" ref="O2" ca="1">INDIRECT("'"&amp;O$1&amp;"'!" &amp; ADDRESS($C2+1,4))</f>
        <v>safety</v>
      </c>
      <c r="P2" t="str" cm="1">
        <f t="array" aca="1" ref="P2" ca="1">INDIRECT("'"&amp;P$1&amp;"'!" &amp; ADDRESS($C2+1,3))</f>
        <v>water</v>
      </c>
      <c r="Q2" t="str" cm="1">
        <f t="array" aca="1" ref="Q2" ca="1">INDIRECT("'"&amp;Q$1&amp;"'!" &amp; ADDRESS($C2+1,4))</f>
        <v>waste</v>
      </c>
      <c r="R2" t="str" cm="1">
        <f t="array" aca="1" ref="R2" ca="1">INDIRECT("'"&amp;R$1&amp;"'!" &amp; ADDRESS($C2+1,3))</f>
        <v>road</v>
      </c>
      <c r="S2" t="str" cm="1">
        <f t="array" aca="1" ref="S2" ca="1">INDIRECT("'"&amp;S$1&amp;"'!" &amp; ADDRESS($C2+1,4))</f>
        <v>water</v>
      </c>
      <c r="T2" t="str" cm="1">
        <f t="array" aca="1" ref="T2" ca="1">INDIRECT("'"&amp;T$1&amp;"'!" &amp; ADDRESS($C2+1,3))</f>
        <v>safety</v>
      </c>
      <c r="U2" t="str" cm="1">
        <f t="array" aca="1" ref="U2" ca="1">INDIRECT("'"&amp;U$1&amp;"'!" &amp; ADDRESS($C2+1,4))</f>
        <v>road</v>
      </c>
      <c r="V2" t="str" cm="1">
        <f t="array" aca="1" ref="V2" ca="1">INDIRECT("'"&amp;V$1&amp;"'!" &amp; ADDRESS($C2+1,3))</f>
        <v>water</v>
      </c>
      <c r="W2" t="str" cm="1">
        <f t="array" aca="1" ref="W2" ca="1">INDIRECT("'"&amp;W$1&amp;"'!" &amp; ADDRESS($C2+1,4))</f>
        <v>water</v>
      </c>
    </row>
    <row r="3" spans="1:23" x14ac:dyDescent="0.3">
      <c r="A3">
        <v>1</v>
      </c>
      <c r="B3">
        <f>rand_42!F2</f>
        <v>0.66666666666666663</v>
      </c>
      <c r="C3">
        <v>2</v>
      </c>
      <c r="D3" t="str" cm="1">
        <f t="array" aca="1" ref="D3" ca="1">INDIRECT("'"&amp;D$1&amp;"'!" &amp; ADDRESS($C3+1,3))</f>
        <v>safety</v>
      </c>
      <c r="E3" t="str" cm="1">
        <f t="array" aca="1" ref="E3" ca="1">INDIRECT("'"&amp;E$1&amp;"'!" &amp; ADDRESS($C3+1,4))</f>
        <v>safety</v>
      </c>
      <c r="F3" t="str" cm="1">
        <f t="array" aca="1" ref="F3" ca="1">INDIRECT("'"&amp;F$1&amp;"'!" &amp; ADDRESS($C3+1,3))</f>
        <v>road</v>
      </c>
      <c r="G3" t="str" cm="1">
        <f t="array" aca="1" ref="G3" ca="1">INDIRECT("'"&amp;G$1&amp;"'!" &amp; ADDRESS($C3+1,4))</f>
        <v>safety</v>
      </c>
      <c r="H3" t="str" cm="1">
        <f t="array" aca="1" ref="H3" ca="1">INDIRECT("'"&amp;H$1&amp;"'!" &amp; ADDRESS($C3+1,3))</f>
        <v>water</v>
      </c>
      <c r="I3" t="str" cm="1">
        <f t="array" aca="1" ref="I3" ca="1">INDIRECT("'"&amp;I$1&amp;"'!" &amp; ADDRESS($C3+1,4))</f>
        <v>water</v>
      </c>
      <c r="J3" t="str" cm="1">
        <f t="array" aca="1" ref="J3" ca="1">INDIRECT("'"&amp;J$1&amp;"'!" &amp; ADDRESS($C3+1,3))</f>
        <v>safety</v>
      </c>
      <c r="K3" t="str" cm="1">
        <f t="array" aca="1" ref="K3" ca="1">INDIRECT("'"&amp;K$1&amp;"'!" &amp; ADDRESS($C3+1,4))</f>
        <v>road</v>
      </c>
      <c r="L3" t="str" cm="1">
        <f t="array" aca="1" ref="L3" ca="1">INDIRECT("'"&amp;L$1&amp;"'!" &amp; ADDRESS($C3+1,3))</f>
        <v>safety</v>
      </c>
      <c r="M3" t="str" cm="1">
        <f t="array" aca="1" ref="M3" ca="1">INDIRECT("'"&amp;M$1&amp;"'!" &amp; ADDRESS($C3+1,4))</f>
        <v>road</v>
      </c>
      <c r="N3" t="str" cm="1">
        <f t="array" aca="1" ref="N3" ca="1">INDIRECT("'"&amp;N$1&amp;"'!" &amp; ADDRESS($C3+1,3))</f>
        <v>water</v>
      </c>
      <c r="O3" t="str" cm="1">
        <f t="array" aca="1" ref="O3" ca="1">INDIRECT("'"&amp;O$1&amp;"'!" &amp; ADDRESS($C3+1,4))</f>
        <v>water</v>
      </c>
      <c r="P3" t="str" cm="1">
        <f t="array" aca="1" ref="P3" ca="1">INDIRECT("'"&amp;P$1&amp;"'!" &amp; ADDRESS($C3+1,3))</f>
        <v>waste</v>
      </c>
      <c r="Q3" t="str" cm="1">
        <f t="array" aca="1" ref="Q3" ca="1">INDIRECT("'"&amp;Q$1&amp;"'!" &amp; ADDRESS($C3+1,4))</f>
        <v>waste</v>
      </c>
      <c r="R3" t="str" cm="1">
        <f t="array" aca="1" ref="R3" ca="1">INDIRECT("'"&amp;R$1&amp;"'!" &amp; ADDRESS($C3+1,3))</f>
        <v>road</v>
      </c>
      <c r="S3" t="str" cm="1">
        <f t="array" aca="1" ref="S3" ca="1">INDIRECT("'"&amp;S$1&amp;"'!" &amp; ADDRESS($C3+1,4))</f>
        <v>safety</v>
      </c>
      <c r="T3" t="str" cm="1">
        <f t="array" aca="1" ref="T3" ca="1">INDIRECT("'"&amp;T$1&amp;"'!" &amp; ADDRESS($C3+1,3))</f>
        <v>waste</v>
      </c>
      <c r="U3" t="str" cm="1">
        <f t="array" aca="1" ref="U3" ca="1">INDIRECT("'"&amp;U$1&amp;"'!" &amp; ADDRESS($C3+1,4))</f>
        <v>waste</v>
      </c>
      <c r="V3" t="str" cm="1">
        <f t="array" aca="1" ref="V3" ca="1">INDIRECT("'"&amp;V$1&amp;"'!" &amp; ADDRESS($C3+1,3))</f>
        <v>water</v>
      </c>
      <c r="W3" t="str" cm="1">
        <f t="array" aca="1" ref="W3" ca="1">INDIRECT("'"&amp;W$1&amp;"'!" &amp; ADDRESS($C3+1,4))</f>
        <v>water</v>
      </c>
    </row>
    <row r="4" spans="1:23" x14ac:dyDescent="0.3">
      <c r="A4">
        <v>2</v>
      </c>
      <c r="B4">
        <f>rand_1!$F$2</f>
        <v>0.5</v>
      </c>
      <c r="C4">
        <v>3</v>
      </c>
      <c r="D4" t="str" cm="1">
        <f t="array" aca="1" ref="D4" ca="1">INDIRECT("'"&amp;D$1&amp;"'!" &amp; ADDRESS($C4+1,3))</f>
        <v>safety</v>
      </c>
      <c r="E4" t="str" cm="1">
        <f t="array" aca="1" ref="E4" ca="1">INDIRECT("'"&amp;E$1&amp;"'!" &amp; ADDRESS($C4+1,4))</f>
        <v>safety</v>
      </c>
      <c r="F4" t="str" cm="1">
        <f t="array" aca="1" ref="F4" ca="1">INDIRECT("'"&amp;F$1&amp;"'!" &amp; ADDRESS($C4+1,3))</f>
        <v>road</v>
      </c>
      <c r="G4" t="str" cm="1">
        <f t="array" aca="1" ref="G4" ca="1">INDIRECT("'"&amp;G$1&amp;"'!" &amp; ADDRESS($C4+1,4))</f>
        <v>safety</v>
      </c>
      <c r="H4" t="str" cm="1">
        <f t="array" aca="1" ref="H4" ca="1">INDIRECT("'"&amp;H$1&amp;"'!" &amp; ADDRESS($C4+1,3))</f>
        <v>road</v>
      </c>
      <c r="I4" t="str" cm="1">
        <f t="array" aca="1" ref="I4" ca="1">INDIRECT("'"&amp;I$1&amp;"'!" &amp; ADDRESS($C4+1,4))</f>
        <v>road</v>
      </c>
      <c r="J4" t="str" cm="1">
        <f t="array" aca="1" ref="J4" ca="1">INDIRECT("'"&amp;J$1&amp;"'!" &amp; ADDRESS($C4+1,3))</f>
        <v>waste</v>
      </c>
      <c r="K4" t="str" cm="1">
        <f t="array" aca="1" ref="K4" ca="1">INDIRECT("'"&amp;K$1&amp;"'!" &amp; ADDRESS($C4+1,4))</f>
        <v>safety</v>
      </c>
      <c r="L4" t="str" cm="1">
        <f t="array" aca="1" ref="L4" ca="1">INDIRECT("'"&amp;L$1&amp;"'!" &amp; ADDRESS($C4+1,3))</f>
        <v>water</v>
      </c>
      <c r="M4" t="str" cm="1">
        <f t="array" aca="1" ref="M4" ca="1">INDIRECT("'"&amp;M$1&amp;"'!" &amp; ADDRESS($C4+1,4))</f>
        <v>water</v>
      </c>
      <c r="N4" t="str" cm="1">
        <f t="array" aca="1" ref="N4" ca="1">INDIRECT("'"&amp;N$1&amp;"'!" &amp; ADDRESS($C4+1,3))</f>
        <v>road</v>
      </c>
      <c r="O4" t="str" cm="1">
        <f t="array" aca="1" ref="O4" ca="1">INDIRECT("'"&amp;O$1&amp;"'!" &amp; ADDRESS($C4+1,4))</f>
        <v>safety</v>
      </c>
      <c r="P4" t="str" cm="1">
        <f t="array" aca="1" ref="P4" ca="1">INDIRECT("'"&amp;P$1&amp;"'!" &amp; ADDRESS($C4+1,3))</f>
        <v>road</v>
      </c>
      <c r="Q4" t="str" cm="1">
        <f t="array" aca="1" ref="Q4" ca="1">INDIRECT("'"&amp;Q$1&amp;"'!" &amp; ADDRESS($C4+1,4))</f>
        <v>road</v>
      </c>
      <c r="R4" t="str" cm="1">
        <f t="array" aca="1" ref="R4" ca="1">INDIRECT("'"&amp;R$1&amp;"'!" &amp; ADDRESS($C4+1,3))</f>
        <v>road</v>
      </c>
      <c r="S4" t="str" cm="1">
        <f t="array" aca="1" ref="S4" ca="1">INDIRECT("'"&amp;S$1&amp;"'!" &amp; ADDRESS($C4+1,4))</f>
        <v>safety</v>
      </c>
      <c r="T4" t="str" cm="1">
        <f t="array" aca="1" ref="T4" ca="1">INDIRECT("'"&amp;T$1&amp;"'!" &amp; ADDRESS($C4+1,3))</f>
        <v>waste</v>
      </c>
      <c r="U4" t="str" cm="1">
        <f t="array" aca="1" ref="U4" ca="1">INDIRECT("'"&amp;U$1&amp;"'!" &amp; ADDRESS($C4+1,4))</f>
        <v>safety</v>
      </c>
      <c r="V4" t="str" cm="1">
        <f t="array" aca="1" ref="V4" ca="1">INDIRECT("'"&amp;V$1&amp;"'!" &amp; ADDRESS($C4+1,3))</f>
        <v>waste</v>
      </c>
      <c r="W4" t="str" cm="1">
        <f t="array" aca="1" ref="W4" ca="1">INDIRECT("'"&amp;W$1&amp;"'!" &amp; ADDRESS($C4+1,4))</f>
        <v>waste</v>
      </c>
    </row>
    <row r="5" spans="1:23" x14ac:dyDescent="0.3">
      <c r="A5">
        <v>3</v>
      </c>
      <c r="B5">
        <f>rand_2!$F$2</f>
        <v>0.66666666666666663</v>
      </c>
      <c r="C5">
        <v>4</v>
      </c>
      <c r="D5" t="str" cm="1">
        <f t="array" aca="1" ref="D5" ca="1">INDIRECT("'"&amp;D$1&amp;"'!" &amp; ADDRESS($C5+1,3))</f>
        <v>road</v>
      </c>
      <c r="E5" t="str" cm="1">
        <f t="array" aca="1" ref="E5" ca="1">INDIRECT("'"&amp;E$1&amp;"'!" &amp; ADDRESS($C5+1,4))</f>
        <v>safety</v>
      </c>
      <c r="F5" t="str" cm="1">
        <f t="array" aca="1" ref="F5" ca="1">INDIRECT("'"&amp;F$1&amp;"'!" &amp; ADDRESS($C5+1,3))</f>
        <v>waste</v>
      </c>
      <c r="G5" t="str" cm="1">
        <f t="array" aca="1" ref="G5" ca="1">INDIRECT("'"&amp;G$1&amp;"'!" &amp; ADDRESS($C5+1,4))</f>
        <v>waste</v>
      </c>
      <c r="H5" t="str" cm="1">
        <f t="array" aca="1" ref="H5" ca="1">INDIRECT("'"&amp;H$1&amp;"'!" &amp; ADDRESS($C5+1,3))</f>
        <v>road</v>
      </c>
      <c r="I5" t="str" cm="1">
        <f t="array" aca="1" ref="I5" ca="1">INDIRECT("'"&amp;I$1&amp;"'!" &amp; ADDRESS($C5+1,4))</f>
        <v>safety</v>
      </c>
      <c r="J5" t="str" cm="1">
        <f t="array" aca="1" ref="J5" ca="1">INDIRECT("'"&amp;J$1&amp;"'!" &amp; ADDRESS($C5+1,3))</f>
        <v>road</v>
      </c>
      <c r="K5" t="str" cm="1">
        <f t="array" aca="1" ref="K5" ca="1">INDIRECT("'"&amp;K$1&amp;"'!" &amp; ADDRESS($C5+1,4))</f>
        <v>water</v>
      </c>
      <c r="L5" t="str" cm="1">
        <f t="array" aca="1" ref="L5" ca="1">INDIRECT("'"&amp;L$1&amp;"'!" &amp; ADDRESS($C5+1,3))</f>
        <v>waste</v>
      </c>
      <c r="M5" t="str" cm="1">
        <f t="array" aca="1" ref="M5" ca="1">INDIRECT("'"&amp;M$1&amp;"'!" &amp; ADDRESS($C5+1,4))</f>
        <v>waste</v>
      </c>
      <c r="N5" t="str" cm="1">
        <f t="array" aca="1" ref="N5" ca="1">INDIRECT("'"&amp;N$1&amp;"'!" &amp; ADDRESS($C5+1,3))</f>
        <v>water</v>
      </c>
      <c r="O5" t="str" cm="1">
        <f t="array" aca="1" ref="O5" ca="1">INDIRECT("'"&amp;O$1&amp;"'!" &amp; ADDRESS($C5+1,4))</f>
        <v>waste</v>
      </c>
      <c r="P5" t="str" cm="1">
        <f t="array" aca="1" ref="P5" ca="1">INDIRECT("'"&amp;P$1&amp;"'!" &amp; ADDRESS($C5+1,3))</f>
        <v>water</v>
      </c>
      <c r="Q5" t="str" cm="1">
        <f t="array" aca="1" ref="Q5" ca="1">INDIRECT("'"&amp;Q$1&amp;"'!" &amp; ADDRESS($C5+1,4))</f>
        <v>water</v>
      </c>
      <c r="R5" t="str" cm="1">
        <f t="array" aca="1" ref="R5" ca="1">INDIRECT("'"&amp;R$1&amp;"'!" &amp; ADDRESS($C5+1,3))</f>
        <v>water</v>
      </c>
      <c r="S5" t="str" cm="1">
        <f t="array" aca="1" ref="S5" ca="1">INDIRECT("'"&amp;S$1&amp;"'!" &amp; ADDRESS($C5+1,4))</f>
        <v>water</v>
      </c>
      <c r="T5" t="str" cm="1">
        <f t="array" aca="1" ref="T5" ca="1">INDIRECT("'"&amp;T$1&amp;"'!" &amp; ADDRESS($C5+1,3))</f>
        <v>waste</v>
      </c>
      <c r="U5" t="str" cm="1">
        <f t="array" aca="1" ref="U5" ca="1">INDIRECT("'"&amp;U$1&amp;"'!" &amp; ADDRESS($C5+1,4))</f>
        <v>safety</v>
      </c>
      <c r="V5" t="str" cm="1">
        <f t="array" aca="1" ref="V5" ca="1">INDIRECT("'"&amp;V$1&amp;"'!" &amp; ADDRESS($C5+1,3))</f>
        <v>safety</v>
      </c>
      <c r="W5" t="str" cm="1">
        <f t="array" aca="1" ref="W5" ca="1">INDIRECT("'"&amp;W$1&amp;"'!" &amp; ADDRESS($C5+1,4))</f>
        <v>road</v>
      </c>
    </row>
    <row r="6" spans="1:23" x14ac:dyDescent="0.3">
      <c r="A6">
        <v>4</v>
      </c>
      <c r="B6">
        <f>rand_3!$F$2</f>
        <v>0.58333333333333337</v>
      </c>
      <c r="C6">
        <v>5</v>
      </c>
      <c r="D6" t="str" cm="1">
        <f t="array" aca="1" ref="D6" ca="1">INDIRECT("'"&amp;D$1&amp;"'!" &amp; ADDRESS($C6+1,3))</f>
        <v>safety</v>
      </c>
      <c r="E6" t="str" cm="1">
        <f t="array" aca="1" ref="E6" ca="1">INDIRECT("'"&amp;E$1&amp;"'!" &amp; ADDRESS($C6+1,4))</f>
        <v>safety</v>
      </c>
      <c r="F6" t="str" cm="1">
        <f t="array" aca="1" ref="F6" ca="1">INDIRECT("'"&amp;F$1&amp;"'!" &amp; ADDRESS($C6+1,3))</f>
        <v>water</v>
      </c>
      <c r="G6" t="str" cm="1">
        <f t="array" aca="1" ref="G6" ca="1">INDIRECT("'"&amp;G$1&amp;"'!" &amp; ADDRESS($C6+1,4))</f>
        <v>waste</v>
      </c>
      <c r="H6" t="str" cm="1">
        <f t="array" aca="1" ref="H6" ca="1">INDIRECT("'"&amp;H$1&amp;"'!" &amp; ADDRESS($C6+1,3))</f>
        <v>water</v>
      </c>
      <c r="I6" t="str" cm="1">
        <f t="array" aca="1" ref="I6" ca="1">INDIRECT("'"&amp;I$1&amp;"'!" &amp; ADDRESS($C6+1,4))</f>
        <v>water</v>
      </c>
      <c r="J6" t="str" cm="1">
        <f t="array" aca="1" ref="J6" ca="1">INDIRECT("'"&amp;J$1&amp;"'!" &amp; ADDRESS($C6+1,3))</f>
        <v>waste</v>
      </c>
      <c r="K6" t="str" cm="1">
        <f t="array" aca="1" ref="K6" ca="1">INDIRECT("'"&amp;K$1&amp;"'!" &amp; ADDRESS($C6+1,4))</f>
        <v>waste</v>
      </c>
      <c r="L6" t="str" cm="1">
        <f t="array" aca="1" ref="L6" ca="1">INDIRECT("'"&amp;L$1&amp;"'!" &amp; ADDRESS($C6+1,3))</f>
        <v>road</v>
      </c>
      <c r="M6" t="str" cm="1">
        <f t="array" aca="1" ref="M6" ca="1">INDIRECT("'"&amp;M$1&amp;"'!" &amp; ADDRESS($C6+1,4))</f>
        <v>water</v>
      </c>
      <c r="N6" t="str" cm="1">
        <f t="array" aca="1" ref="N6" ca="1">INDIRECT("'"&amp;N$1&amp;"'!" &amp; ADDRESS($C6+1,3))</f>
        <v>waste</v>
      </c>
      <c r="O6" t="str" cm="1">
        <f t="array" aca="1" ref="O6" ca="1">INDIRECT("'"&amp;O$1&amp;"'!" &amp; ADDRESS($C6+1,4))</f>
        <v>waste</v>
      </c>
      <c r="P6" t="str" cm="1">
        <f t="array" aca="1" ref="P6" ca="1">INDIRECT("'"&amp;P$1&amp;"'!" &amp; ADDRESS($C6+1,3))</f>
        <v>water</v>
      </c>
      <c r="Q6" t="str" cm="1">
        <f t="array" aca="1" ref="Q6" ca="1">INDIRECT("'"&amp;Q$1&amp;"'!" &amp; ADDRESS($C6+1,4))</f>
        <v>water</v>
      </c>
      <c r="R6" t="str" cm="1">
        <f t="array" aca="1" ref="R6" ca="1">INDIRECT("'"&amp;R$1&amp;"'!" &amp; ADDRESS($C6+1,3))</f>
        <v>safety</v>
      </c>
      <c r="S6" t="str" cm="1">
        <f t="array" aca="1" ref="S6" ca="1">INDIRECT("'"&amp;S$1&amp;"'!" &amp; ADDRESS($C6+1,4))</f>
        <v>safety</v>
      </c>
      <c r="T6" t="str" cm="1">
        <f t="array" aca="1" ref="T6" ca="1">INDIRECT("'"&amp;T$1&amp;"'!" &amp; ADDRESS($C6+1,3))</f>
        <v>water</v>
      </c>
      <c r="U6" t="str" cm="1">
        <f t="array" aca="1" ref="U6" ca="1">INDIRECT("'"&amp;U$1&amp;"'!" &amp; ADDRESS($C6+1,4))</f>
        <v>water</v>
      </c>
      <c r="V6" t="str" cm="1">
        <f t="array" aca="1" ref="V6" ca="1">INDIRECT("'"&amp;V$1&amp;"'!" &amp; ADDRESS($C6+1,3))</f>
        <v>safety</v>
      </c>
      <c r="W6" t="str" cm="1">
        <f t="array" aca="1" ref="W6" ca="1">INDIRECT("'"&amp;W$1&amp;"'!" &amp; ADDRESS($C6+1,4))</f>
        <v>road</v>
      </c>
    </row>
    <row r="7" spans="1:23" x14ac:dyDescent="0.3">
      <c r="A7">
        <v>5</v>
      </c>
      <c r="B7">
        <f>rand_4!$F$2</f>
        <v>0.58333333333333337</v>
      </c>
      <c r="C7">
        <v>6</v>
      </c>
      <c r="D7" t="str" cm="1">
        <f t="array" aca="1" ref="D7" ca="1">INDIRECT("'"&amp;D$1&amp;"'!" &amp; ADDRESS($C7+1,3))</f>
        <v>water</v>
      </c>
      <c r="E7" t="str" cm="1">
        <f t="array" aca="1" ref="E7" ca="1">INDIRECT("'"&amp;E$1&amp;"'!" &amp; ADDRESS($C7+1,4))</f>
        <v>water</v>
      </c>
      <c r="F7" t="str" cm="1">
        <f t="array" aca="1" ref="F7" ca="1">INDIRECT("'"&amp;F$1&amp;"'!" &amp; ADDRESS($C7+1,3))</f>
        <v>safety</v>
      </c>
      <c r="G7" t="str" cm="1">
        <f t="array" aca="1" ref="G7" ca="1">INDIRECT("'"&amp;G$1&amp;"'!" &amp; ADDRESS($C7+1,4))</f>
        <v>safety</v>
      </c>
      <c r="H7" t="str" cm="1">
        <f t="array" aca="1" ref="H7" ca="1">INDIRECT("'"&amp;H$1&amp;"'!" &amp; ADDRESS($C7+1,3))</f>
        <v>road</v>
      </c>
      <c r="I7" t="str" cm="1">
        <f t="array" aca="1" ref="I7" ca="1">INDIRECT("'"&amp;I$1&amp;"'!" &amp; ADDRESS($C7+1,4))</f>
        <v>road</v>
      </c>
      <c r="J7" t="str" cm="1">
        <f t="array" aca="1" ref="J7" ca="1">INDIRECT("'"&amp;J$1&amp;"'!" &amp; ADDRESS($C7+1,3))</f>
        <v>safety</v>
      </c>
      <c r="K7" t="str" cm="1">
        <f t="array" aca="1" ref="K7" ca="1">INDIRECT("'"&amp;K$1&amp;"'!" &amp; ADDRESS($C7+1,4))</f>
        <v>safety</v>
      </c>
      <c r="L7" t="str" cm="1">
        <f t="array" aca="1" ref="L7" ca="1">INDIRECT("'"&amp;L$1&amp;"'!" &amp; ADDRESS($C7+1,3))</f>
        <v>road</v>
      </c>
      <c r="M7" t="str" cm="1">
        <f t="array" aca="1" ref="M7" ca="1">INDIRECT("'"&amp;M$1&amp;"'!" &amp; ADDRESS($C7+1,4))</f>
        <v>waste</v>
      </c>
      <c r="N7" t="str" cm="1">
        <f t="array" aca="1" ref="N7" ca="1">INDIRECT("'"&amp;N$1&amp;"'!" &amp; ADDRESS($C7+1,3))</f>
        <v>safety</v>
      </c>
      <c r="O7" t="str" cm="1">
        <f t="array" aca="1" ref="O7" ca="1">INDIRECT("'"&amp;O$1&amp;"'!" &amp; ADDRESS($C7+1,4))</f>
        <v>waste</v>
      </c>
      <c r="P7" t="str" cm="1">
        <f t="array" aca="1" ref="P7" ca="1">INDIRECT("'"&amp;P$1&amp;"'!" &amp; ADDRESS($C7+1,3))</f>
        <v>safety</v>
      </c>
      <c r="Q7" t="str" cm="1">
        <f t="array" aca="1" ref="Q7" ca="1">INDIRECT("'"&amp;Q$1&amp;"'!" &amp; ADDRESS($C7+1,4))</f>
        <v>safety</v>
      </c>
      <c r="R7" t="str" cm="1">
        <f t="array" aca="1" ref="R7" ca="1">INDIRECT("'"&amp;R$1&amp;"'!" &amp; ADDRESS($C7+1,3))</f>
        <v>water</v>
      </c>
      <c r="S7" t="str" cm="1">
        <f t="array" aca="1" ref="S7" ca="1">INDIRECT("'"&amp;S$1&amp;"'!" &amp; ADDRESS($C7+1,4))</f>
        <v>water</v>
      </c>
      <c r="T7" t="str" cm="1">
        <f t="array" aca="1" ref="T7" ca="1">INDIRECT("'"&amp;T$1&amp;"'!" &amp; ADDRESS($C7+1,3))</f>
        <v>safety</v>
      </c>
      <c r="U7" t="str" cm="1">
        <f t="array" aca="1" ref="U7" ca="1">INDIRECT("'"&amp;U$1&amp;"'!" &amp; ADDRESS($C7+1,4))</f>
        <v>road</v>
      </c>
      <c r="V7" t="str" cm="1">
        <f t="array" aca="1" ref="V7" ca="1">INDIRECT("'"&amp;V$1&amp;"'!" &amp; ADDRESS($C7+1,3))</f>
        <v>road</v>
      </c>
      <c r="W7" t="str" cm="1">
        <f t="array" aca="1" ref="W7" ca="1">INDIRECT("'"&amp;W$1&amp;"'!" &amp; ADDRESS($C7+1,4))</f>
        <v>safety</v>
      </c>
    </row>
    <row r="8" spans="1:23" x14ac:dyDescent="0.3">
      <c r="A8">
        <v>6</v>
      </c>
      <c r="B8">
        <f>rand_5!$F$2</f>
        <v>0.58333333333333337</v>
      </c>
      <c r="C8">
        <v>7</v>
      </c>
      <c r="D8" t="str" cm="1">
        <f t="array" aca="1" ref="D8" ca="1">INDIRECT("'"&amp;D$1&amp;"'!" &amp; ADDRESS($C8+1,3))</f>
        <v>water</v>
      </c>
      <c r="E8" t="str" cm="1">
        <f t="array" aca="1" ref="E8" ca="1">INDIRECT("'"&amp;E$1&amp;"'!" &amp; ADDRESS($C8+1,4))</f>
        <v>water</v>
      </c>
      <c r="F8" t="str" cm="1">
        <f t="array" aca="1" ref="F8" ca="1">INDIRECT("'"&amp;F$1&amp;"'!" &amp; ADDRESS($C8+1,3))</f>
        <v>water</v>
      </c>
      <c r="G8" t="str" cm="1">
        <f t="array" aca="1" ref="G8" ca="1">INDIRECT("'"&amp;G$1&amp;"'!" &amp; ADDRESS($C8+1,4))</f>
        <v>waste</v>
      </c>
      <c r="H8" t="str" cm="1">
        <f t="array" aca="1" ref="H8" ca="1">INDIRECT("'"&amp;H$1&amp;"'!" &amp; ADDRESS($C8+1,3))</f>
        <v>waste</v>
      </c>
      <c r="I8" t="str" cm="1">
        <f t="array" aca="1" ref="I8" ca="1">INDIRECT("'"&amp;I$1&amp;"'!" &amp; ADDRESS($C8+1,4))</f>
        <v>safety</v>
      </c>
      <c r="J8" t="str" cm="1">
        <f t="array" aca="1" ref="J8" ca="1">INDIRECT("'"&amp;J$1&amp;"'!" &amp; ADDRESS($C8+1,3))</f>
        <v>water</v>
      </c>
      <c r="K8" t="str" cm="1">
        <f t="array" aca="1" ref="K8" ca="1">INDIRECT("'"&amp;K$1&amp;"'!" &amp; ADDRESS($C8+1,4))</f>
        <v>water</v>
      </c>
      <c r="L8" t="str" cm="1">
        <f t="array" aca="1" ref="L8" ca="1">INDIRECT("'"&amp;L$1&amp;"'!" &amp; ADDRESS($C8+1,3))</f>
        <v>safety</v>
      </c>
      <c r="M8" t="str" cm="1">
        <f t="array" aca="1" ref="M8" ca="1">INDIRECT("'"&amp;M$1&amp;"'!" &amp; ADDRESS($C8+1,4))</f>
        <v>safety</v>
      </c>
      <c r="N8" t="str" cm="1">
        <f t="array" aca="1" ref="N8" ca="1">INDIRECT("'"&amp;N$1&amp;"'!" &amp; ADDRESS($C8+1,3))</f>
        <v>waste</v>
      </c>
      <c r="O8" t="str" cm="1">
        <f t="array" aca="1" ref="O8" ca="1">INDIRECT("'"&amp;O$1&amp;"'!" &amp; ADDRESS($C8+1,4))</f>
        <v>waste</v>
      </c>
      <c r="P8" t="str" cm="1">
        <f t="array" aca="1" ref="P8" ca="1">INDIRECT("'"&amp;P$1&amp;"'!" &amp; ADDRESS($C8+1,3))</f>
        <v>waste</v>
      </c>
      <c r="Q8" t="str" cm="1">
        <f t="array" aca="1" ref="Q8" ca="1">INDIRECT("'"&amp;Q$1&amp;"'!" &amp; ADDRESS($C8+1,4))</f>
        <v>waste</v>
      </c>
      <c r="R8" t="str" cm="1">
        <f t="array" aca="1" ref="R8" ca="1">INDIRECT("'"&amp;R$1&amp;"'!" &amp; ADDRESS($C8+1,3))</f>
        <v>safety</v>
      </c>
      <c r="S8" t="str" cm="1">
        <f t="array" aca="1" ref="S8" ca="1">INDIRECT("'"&amp;S$1&amp;"'!" &amp; ADDRESS($C8+1,4))</f>
        <v>safety</v>
      </c>
      <c r="T8" t="str" cm="1">
        <f t="array" aca="1" ref="T8" ca="1">INDIRECT("'"&amp;T$1&amp;"'!" &amp; ADDRESS($C8+1,3))</f>
        <v>road</v>
      </c>
      <c r="U8" t="str" cm="1">
        <f t="array" aca="1" ref="U8" ca="1">INDIRECT("'"&amp;U$1&amp;"'!" &amp; ADDRESS($C8+1,4))</f>
        <v>road</v>
      </c>
      <c r="V8" t="str" cm="1">
        <f t="array" aca="1" ref="V8" ca="1">INDIRECT("'"&amp;V$1&amp;"'!" &amp; ADDRESS($C8+1,3))</f>
        <v>water</v>
      </c>
      <c r="W8" t="str" cm="1">
        <f t="array" aca="1" ref="W8" ca="1">INDIRECT("'"&amp;W$1&amp;"'!" &amp; ADDRESS($C8+1,4))</f>
        <v>water</v>
      </c>
    </row>
    <row r="9" spans="1:23" x14ac:dyDescent="0.3">
      <c r="A9">
        <v>7</v>
      </c>
      <c r="B9">
        <f>rand_6!$F$2</f>
        <v>0.66666666666666663</v>
      </c>
      <c r="C9">
        <v>8</v>
      </c>
      <c r="D9" t="str" cm="1">
        <f t="array" aca="1" ref="D9" ca="1">INDIRECT("'"&amp;D$1&amp;"'!" &amp; ADDRESS($C9+1,3))</f>
        <v>waste</v>
      </c>
      <c r="E9" t="str" cm="1">
        <f t="array" aca="1" ref="E9" ca="1">INDIRECT("'"&amp;E$1&amp;"'!" &amp; ADDRESS($C9+1,4))</f>
        <v>safety</v>
      </c>
      <c r="F9" t="str" cm="1">
        <f t="array" aca="1" ref="F9" ca="1">INDIRECT("'"&amp;F$1&amp;"'!" &amp; ADDRESS($C9+1,3))</f>
        <v>road</v>
      </c>
      <c r="G9" t="str" cm="1">
        <f t="array" aca="1" ref="G9" ca="1">INDIRECT("'"&amp;G$1&amp;"'!" &amp; ADDRESS($C9+1,4))</f>
        <v>waste</v>
      </c>
      <c r="H9" t="str" cm="1">
        <f t="array" aca="1" ref="H9" ca="1">INDIRECT("'"&amp;H$1&amp;"'!" &amp; ADDRESS($C9+1,3))</f>
        <v>waste</v>
      </c>
      <c r="I9" t="str" cm="1">
        <f t="array" aca="1" ref="I9" ca="1">INDIRECT("'"&amp;I$1&amp;"'!" &amp; ADDRESS($C9+1,4))</f>
        <v>road</v>
      </c>
      <c r="J9" t="str" cm="1">
        <f t="array" aca="1" ref="J9" ca="1">INDIRECT("'"&amp;J$1&amp;"'!" &amp; ADDRESS($C9+1,3))</f>
        <v>safety</v>
      </c>
      <c r="K9" t="str" cm="1">
        <f t="array" aca="1" ref="K9" ca="1">INDIRECT("'"&amp;K$1&amp;"'!" &amp; ADDRESS($C9+1,4))</f>
        <v>safety</v>
      </c>
      <c r="L9" t="str" cm="1">
        <f t="array" aca="1" ref="L9" ca="1">INDIRECT("'"&amp;L$1&amp;"'!" &amp; ADDRESS($C9+1,3))</f>
        <v>waste</v>
      </c>
      <c r="M9" t="str" cm="1">
        <f t="array" aca="1" ref="M9" ca="1">INDIRECT("'"&amp;M$1&amp;"'!" &amp; ADDRESS($C9+1,4))</f>
        <v>waste</v>
      </c>
      <c r="N9" t="str" cm="1">
        <f t="array" aca="1" ref="N9" ca="1">INDIRECT("'"&amp;N$1&amp;"'!" &amp; ADDRESS($C9+1,3))</f>
        <v>safety</v>
      </c>
      <c r="O9" t="str" cm="1">
        <f t="array" aca="1" ref="O9" ca="1">INDIRECT("'"&amp;O$1&amp;"'!" &amp; ADDRESS($C9+1,4))</f>
        <v>safety</v>
      </c>
      <c r="P9" t="str" cm="1">
        <f t="array" aca="1" ref="P9" ca="1">INDIRECT("'"&amp;P$1&amp;"'!" &amp; ADDRESS($C9+1,3))</f>
        <v>safety</v>
      </c>
      <c r="Q9" t="str" cm="1">
        <f t="array" aca="1" ref="Q9" ca="1">INDIRECT("'"&amp;Q$1&amp;"'!" &amp; ADDRESS($C9+1,4))</f>
        <v>road</v>
      </c>
      <c r="R9" t="str" cm="1">
        <f t="array" aca="1" ref="R9" ca="1">INDIRECT("'"&amp;R$1&amp;"'!" &amp; ADDRESS($C9+1,3))</f>
        <v>water</v>
      </c>
      <c r="S9" t="str" cm="1">
        <f t="array" aca="1" ref="S9" ca="1">INDIRECT("'"&amp;S$1&amp;"'!" &amp; ADDRESS($C9+1,4))</f>
        <v>water</v>
      </c>
      <c r="T9" t="str" cm="1">
        <f t="array" aca="1" ref="T9" ca="1">INDIRECT("'"&amp;T$1&amp;"'!" &amp; ADDRESS($C9+1,3))</f>
        <v>safety</v>
      </c>
      <c r="U9" t="str" cm="1">
        <f t="array" aca="1" ref="U9" ca="1">INDIRECT("'"&amp;U$1&amp;"'!" &amp; ADDRESS($C9+1,4))</f>
        <v>safety</v>
      </c>
      <c r="V9" t="str" cm="1">
        <f t="array" aca="1" ref="V9" ca="1">INDIRECT("'"&amp;V$1&amp;"'!" &amp; ADDRESS($C9+1,3))</f>
        <v>road</v>
      </c>
      <c r="W9" t="str" cm="1">
        <f t="array" aca="1" ref="W9" ca="1">INDIRECT("'"&amp;W$1&amp;"'!" &amp; ADDRESS($C9+1,4))</f>
        <v>waste</v>
      </c>
    </row>
    <row r="10" spans="1:23" x14ac:dyDescent="0.3">
      <c r="A10">
        <v>8</v>
      </c>
      <c r="B10">
        <f>rand_7!$F$2</f>
        <v>0.66666666666666663</v>
      </c>
      <c r="C10">
        <v>9</v>
      </c>
      <c r="D10" t="str" cm="1">
        <f t="array" aca="1" ref="D10" ca="1">INDIRECT("'"&amp;D$1&amp;"'!" &amp; ADDRESS($C10+1,3))</f>
        <v>water</v>
      </c>
      <c r="E10" t="str" cm="1">
        <f t="array" aca="1" ref="E10" ca="1">INDIRECT("'"&amp;E$1&amp;"'!" &amp; ADDRESS($C10+1,4))</f>
        <v>water</v>
      </c>
      <c r="F10" t="str" cm="1">
        <f t="array" aca="1" ref="F10" ca="1">INDIRECT("'"&amp;F$1&amp;"'!" &amp; ADDRESS($C10+1,3))</f>
        <v>water</v>
      </c>
      <c r="G10" t="str" cm="1">
        <f t="array" aca="1" ref="G10" ca="1">INDIRECT("'"&amp;G$1&amp;"'!" &amp; ADDRESS($C10+1,4))</f>
        <v>water</v>
      </c>
      <c r="H10" t="str" cm="1">
        <f t="array" aca="1" ref="H10" ca="1">INDIRECT("'"&amp;H$1&amp;"'!" &amp; ADDRESS($C10+1,3))</f>
        <v>safety</v>
      </c>
      <c r="I10" t="str" cm="1">
        <f t="array" aca="1" ref="I10" ca="1">INDIRECT("'"&amp;I$1&amp;"'!" &amp; ADDRESS($C10+1,4))</f>
        <v>water</v>
      </c>
      <c r="J10" t="str" cm="1">
        <f t="array" aca="1" ref="J10" ca="1">INDIRECT("'"&amp;J$1&amp;"'!" &amp; ADDRESS($C10+1,3))</f>
        <v>waste</v>
      </c>
      <c r="K10" t="str" cm="1">
        <f t="array" aca="1" ref="K10" ca="1">INDIRECT("'"&amp;K$1&amp;"'!" &amp; ADDRESS($C10+1,4))</f>
        <v>safety</v>
      </c>
      <c r="L10" t="str" cm="1">
        <f t="array" aca="1" ref="L10" ca="1">INDIRECT("'"&amp;L$1&amp;"'!" &amp; ADDRESS($C10+1,3))</f>
        <v>waste</v>
      </c>
      <c r="M10" t="str" cm="1">
        <f t="array" aca="1" ref="M10" ca="1">INDIRECT("'"&amp;M$1&amp;"'!" &amp; ADDRESS($C10+1,4))</f>
        <v>road</v>
      </c>
      <c r="N10" t="str" cm="1">
        <f t="array" aca="1" ref="N10" ca="1">INDIRECT("'"&amp;N$1&amp;"'!" &amp; ADDRESS($C10+1,3))</f>
        <v>road</v>
      </c>
      <c r="O10" t="str" cm="1">
        <f t="array" aca="1" ref="O10" ca="1">INDIRECT("'"&amp;O$1&amp;"'!" &amp; ADDRESS($C10+1,4))</f>
        <v>road</v>
      </c>
      <c r="P10" t="str" cm="1">
        <f t="array" aca="1" ref="P10" ca="1">INDIRECT("'"&amp;P$1&amp;"'!" &amp; ADDRESS($C10+1,3))</f>
        <v>road</v>
      </c>
      <c r="Q10" t="str" cm="1">
        <f t="array" aca="1" ref="Q10" ca="1">INDIRECT("'"&amp;Q$1&amp;"'!" &amp; ADDRESS($C10+1,4))</f>
        <v>road</v>
      </c>
      <c r="R10" t="str" cm="1">
        <f t="array" aca="1" ref="R10" ca="1">INDIRECT("'"&amp;R$1&amp;"'!" &amp; ADDRESS($C10+1,3))</f>
        <v>waste</v>
      </c>
      <c r="S10" t="str" cm="1">
        <f t="array" aca="1" ref="S10" ca="1">INDIRECT("'"&amp;S$1&amp;"'!" &amp; ADDRESS($C10+1,4))</f>
        <v>waste</v>
      </c>
      <c r="T10" t="str" cm="1">
        <f t="array" aca="1" ref="T10" ca="1">INDIRECT("'"&amp;T$1&amp;"'!" &amp; ADDRESS($C10+1,3))</f>
        <v>road</v>
      </c>
      <c r="U10" t="str" cm="1">
        <f t="array" aca="1" ref="U10" ca="1">INDIRECT("'"&amp;U$1&amp;"'!" &amp; ADDRESS($C10+1,4))</f>
        <v>water</v>
      </c>
      <c r="V10" t="str" cm="1">
        <f t="array" aca="1" ref="V10" ca="1">INDIRECT("'"&amp;V$1&amp;"'!" &amp; ADDRESS($C10+1,3))</f>
        <v>safety</v>
      </c>
      <c r="W10" t="str" cm="1">
        <f t="array" aca="1" ref="W10" ca="1">INDIRECT("'"&amp;W$1&amp;"'!" &amp; ADDRESS($C10+1,4))</f>
        <v>waste</v>
      </c>
    </row>
    <row r="11" spans="1:23" x14ac:dyDescent="0.3">
      <c r="A11">
        <v>9</v>
      </c>
      <c r="B11">
        <f>rand_8!$F$2</f>
        <v>0.5</v>
      </c>
      <c r="C11">
        <v>10</v>
      </c>
      <c r="D11" t="str" cm="1">
        <f t="array" aca="1" ref="D11" ca="1">INDIRECT("'"&amp;D$1&amp;"'!" &amp; ADDRESS($C11+1,3))</f>
        <v>waste</v>
      </c>
      <c r="E11" t="str" cm="1">
        <f t="array" aca="1" ref="E11" ca="1">INDIRECT("'"&amp;E$1&amp;"'!" &amp; ADDRESS($C11+1,4))</f>
        <v>waste</v>
      </c>
      <c r="F11" t="str" cm="1">
        <f t="array" aca="1" ref="F11" ca="1">INDIRECT("'"&amp;F$1&amp;"'!" &amp; ADDRESS($C11+1,3))</f>
        <v>safety</v>
      </c>
      <c r="G11" t="str" cm="1">
        <f t="array" aca="1" ref="G11" ca="1">INDIRECT("'"&amp;G$1&amp;"'!" &amp; ADDRESS($C11+1,4))</f>
        <v>road</v>
      </c>
      <c r="H11" t="str" cm="1">
        <f t="array" aca="1" ref="H11" ca="1">INDIRECT("'"&amp;H$1&amp;"'!" &amp; ADDRESS($C11+1,3))</f>
        <v>safety</v>
      </c>
      <c r="I11" t="str" cm="1">
        <f t="array" aca="1" ref="I11" ca="1">INDIRECT("'"&amp;I$1&amp;"'!" &amp; ADDRESS($C11+1,4))</f>
        <v>safety</v>
      </c>
      <c r="J11" t="str" cm="1">
        <f t="array" aca="1" ref="J11" ca="1">INDIRECT("'"&amp;J$1&amp;"'!" &amp; ADDRESS($C11+1,3))</f>
        <v>road</v>
      </c>
      <c r="K11" t="str" cm="1">
        <f t="array" aca="1" ref="K11" ca="1">INDIRECT("'"&amp;K$1&amp;"'!" &amp; ADDRESS($C11+1,4))</f>
        <v>waste</v>
      </c>
      <c r="L11" t="str" cm="1">
        <f t="array" aca="1" ref="L11" ca="1">INDIRECT("'"&amp;L$1&amp;"'!" &amp; ADDRESS($C11+1,3))</f>
        <v>water</v>
      </c>
      <c r="M11" t="str" cm="1">
        <f t="array" aca="1" ref="M11" ca="1">INDIRECT("'"&amp;M$1&amp;"'!" &amp; ADDRESS($C11+1,4))</f>
        <v>water</v>
      </c>
      <c r="N11" t="str" cm="1">
        <f t="array" aca="1" ref="N11" ca="1">INDIRECT("'"&amp;N$1&amp;"'!" &amp; ADDRESS($C11+1,3))</f>
        <v>water</v>
      </c>
      <c r="O11" t="str" cm="1">
        <f t="array" aca="1" ref="O11" ca="1">INDIRECT("'"&amp;O$1&amp;"'!" &amp; ADDRESS($C11+1,4))</f>
        <v>water</v>
      </c>
      <c r="P11" t="str" cm="1">
        <f t="array" aca="1" ref="P11" ca="1">INDIRECT("'"&amp;P$1&amp;"'!" &amp; ADDRESS($C11+1,3))</f>
        <v>safety</v>
      </c>
      <c r="Q11" t="str" cm="1">
        <f t="array" aca="1" ref="Q11" ca="1">INDIRECT("'"&amp;Q$1&amp;"'!" &amp; ADDRESS($C11+1,4))</f>
        <v>safety</v>
      </c>
      <c r="R11" t="str" cm="1">
        <f t="array" aca="1" ref="R11" ca="1">INDIRECT("'"&amp;R$1&amp;"'!" &amp; ADDRESS($C11+1,3))</f>
        <v>waste</v>
      </c>
      <c r="S11" t="str" cm="1">
        <f t="array" aca="1" ref="S11" ca="1">INDIRECT("'"&amp;S$1&amp;"'!" &amp; ADDRESS($C11+1,4))</f>
        <v>waste</v>
      </c>
      <c r="T11" t="str" cm="1">
        <f t="array" aca="1" ref="T11" ca="1">INDIRECT("'"&amp;T$1&amp;"'!" &amp; ADDRESS($C11+1,3))</f>
        <v>water</v>
      </c>
      <c r="U11" t="str" cm="1">
        <f t="array" aca="1" ref="U11" ca="1">INDIRECT("'"&amp;U$1&amp;"'!" &amp; ADDRESS($C11+1,4))</f>
        <v>road</v>
      </c>
      <c r="V11" t="str" cm="1">
        <f t="array" aca="1" ref="V11" ca="1">INDIRECT("'"&amp;V$1&amp;"'!" &amp; ADDRESS($C11+1,3))</f>
        <v>road</v>
      </c>
      <c r="W11" t="str" cm="1">
        <f t="array" aca="1" ref="W11" ca="1">INDIRECT("'"&amp;W$1&amp;"'!" &amp; ADDRESS($C11+1,4))</f>
        <v>safety</v>
      </c>
    </row>
    <row r="12" spans="1:23" x14ac:dyDescent="0.3">
      <c r="A12">
        <v>10</v>
      </c>
      <c r="B12">
        <f>rand_9!$F$2</f>
        <v>0.5</v>
      </c>
      <c r="C12">
        <v>11</v>
      </c>
      <c r="D12" t="str" cm="1">
        <f t="array" aca="1" ref="D12" ca="1">INDIRECT("'"&amp;D$1&amp;"'!" &amp; ADDRESS($C12+1,3))</f>
        <v>road</v>
      </c>
      <c r="E12" t="str" cm="1">
        <f t="array" aca="1" ref="E12" ca="1">INDIRECT("'"&amp;E$1&amp;"'!" &amp; ADDRESS($C12+1,4))</f>
        <v>water</v>
      </c>
      <c r="F12" t="str" cm="1">
        <f t="array" aca="1" ref="F12" ca="1">INDIRECT("'"&amp;F$1&amp;"'!" &amp; ADDRESS($C12+1,3))</f>
        <v>safety</v>
      </c>
      <c r="G12" t="str" cm="1">
        <f t="array" aca="1" ref="G12" ca="1">INDIRECT("'"&amp;G$1&amp;"'!" &amp; ADDRESS($C12+1,4))</f>
        <v>safety</v>
      </c>
      <c r="H12" t="str" cm="1">
        <f t="array" aca="1" ref="H12" ca="1">INDIRECT("'"&amp;H$1&amp;"'!" &amp; ADDRESS($C12+1,3))</f>
        <v>waste</v>
      </c>
      <c r="I12" t="str" cm="1">
        <f t="array" aca="1" ref="I12" ca="1">INDIRECT("'"&amp;I$1&amp;"'!" &amp; ADDRESS($C12+1,4))</f>
        <v>waste</v>
      </c>
      <c r="J12" t="str" cm="1">
        <f t="array" aca="1" ref="J12" ca="1">INDIRECT("'"&amp;J$1&amp;"'!" &amp; ADDRESS($C12+1,3))</f>
        <v>water</v>
      </c>
      <c r="K12" t="str" cm="1">
        <f t="array" aca="1" ref="K12" ca="1">INDIRECT("'"&amp;K$1&amp;"'!" &amp; ADDRESS($C12+1,4))</f>
        <v>water</v>
      </c>
      <c r="L12" t="str" cm="1">
        <f t="array" aca="1" ref="L12" ca="1">INDIRECT("'"&amp;L$1&amp;"'!" &amp; ADDRESS($C12+1,3))</f>
        <v>road</v>
      </c>
      <c r="M12" t="str" cm="1">
        <f t="array" aca="1" ref="M12" ca="1">INDIRECT("'"&amp;M$1&amp;"'!" &amp; ADDRESS($C12+1,4))</f>
        <v>safety</v>
      </c>
      <c r="N12" t="str" cm="1">
        <f t="array" aca="1" ref="N12" ca="1">INDIRECT("'"&amp;N$1&amp;"'!" &amp; ADDRESS($C12+1,3))</f>
        <v>waste</v>
      </c>
      <c r="O12" t="str" cm="1">
        <f t="array" aca="1" ref="O12" ca="1">INDIRECT("'"&amp;O$1&amp;"'!" &amp; ADDRESS($C12+1,4))</f>
        <v>safety</v>
      </c>
      <c r="P12" t="str" cm="1">
        <f t="array" aca="1" ref="P12" ca="1">INDIRECT("'"&amp;P$1&amp;"'!" &amp; ADDRESS($C12+1,3))</f>
        <v>waste</v>
      </c>
      <c r="Q12" t="str" cm="1">
        <f t="array" aca="1" ref="Q12" ca="1">INDIRECT("'"&amp;Q$1&amp;"'!" &amp; ADDRESS($C12+1,4))</f>
        <v>safety</v>
      </c>
      <c r="R12" t="str" cm="1">
        <f t="array" aca="1" ref="R12" ca="1">INDIRECT("'"&amp;R$1&amp;"'!" &amp; ADDRESS($C12+1,3))</f>
        <v>safety</v>
      </c>
      <c r="S12" t="str" cm="1">
        <f t="array" aca="1" ref="S12" ca="1">INDIRECT("'"&amp;S$1&amp;"'!" &amp; ADDRESS($C12+1,4))</f>
        <v>road</v>
      </c>
      <c r="T12" t="str" cm="1">
        <f t="array" aca="1" ref="T12" ca="1">INDIRECT("'"&amp;T$1&amp;"'!" &amp; ADDRESS($C12+1,3))</f>
        <v>water</v>
      </c>
      <c r="U12" t="str" cm="1">
        <f t="array" aca="1" ref="U12" ca="1">INDIRECT("'"&amp;U$1&amp;"'!" &amp; ADDRESS($C12+1,4))</f>
        <v>water</v>
      </c>
      <c r="V12" t="str" cm="1">
        <f t="array" aca="1" ref="V12" ca="1">INDIRECT("'"&amp;V$1&amp;"'!" &amp; ADDRESS($C12+1,3))</f>
        <v>waste</v>
      </c>
      <c r="W12" t="str" cm="1">
        <f t="array" aca="1" ref="W12" ca="1">INDIRECT("'"&amp;W$1&amp;"'!" &amp; ADDRESS($C12+1,4))</f>
        <v>waste</v>
      </c>
    </row>
    <row r="13" spans="1:23" x14ac:dyDescent="0.3">
      <c r="A13" t="s">
        <v>143</v>
      </c>
      <c r="B13">
        <f>MIN(B3:B12)</f>
        <v>0.5</v>
      </c>
      <c r="C13">
        <v>12</v>
      </c>
      <c r="D13" t="str" cm="1">
        <f t="array" aca="1" ref="D13" ca="1">INDIRECT("'"&amp;D$1&amp;"'!" &amp; ADDRESS($C13+1,3))</f>
        <v>road</v>
      </c>
      <c r="E13" t="str" cm="1">
        <f t="array" aca="1" ref="E13" ca="1">INDIRECT("'"&amp;E$1&amp;"'!" &amp; ADDRESS($C13+1,4))</f>
        <v>safety</v>
      </c>
      <c r="F13" t="str" cm="1">
        <f t="array" aca="1" ref="F13" ca="1">INDIRECT("'"&amp;F$1&amp;"'!" &amp; ADDRESS($C13+1,3))</f>
        <v>waste</v>
      </c>
      <c r="G13" t="str" cm="1">
        <f t="array" aca="1" ref="G13" ca="1">INDIRECT("'"&amp;G$1&amp;"'!" &amp; ADDRESS($C13+1,4))</f>
        <v>waste</v>
      </c>
      <c r="H13" t="str" cm="1">
        <f t="array" aca="1" ref="H13" ca="1">INDIRECT("'"&amp;H$1&amp;"'!" &amp; ADDRESS($C13+1,3))</f>
        <v>water</v>
      </c>
      <c r="I13" t="str" cm="1">
        <f t="array" aca="1" ref="I13" ca="1">INDIRECT("'"&amp;I$1&amp;"'!" &amp; ADDRESS($C13+1,4))</f>
        <v>water</v>
      </c>
      <c r="J13" t="str" cm="1">
        <f t="array" aca="1" ref="J13" ca="1">INDIRECT("'"&amp;J$1&amp;"'!" &amp; ADDRESS($C13+1,3))</f>
        <v>road</v>
      </c>
      <c r="K13" t="str" cm="1">
        <f t="array" aca="1" ref="K13" ca="1">INDIRECT("'"&amp;K$1&amp;"'!" &amp; ADDRESS($C13+1,4))</f>
        <v>road</v>
      </c>
      <c r="L13" t="str" cm="1">
        <f t="array" aca="1" ref="L13" ca="1">INDIRECT("'"&amp;L$1&amp;"'!" &amp; ADDRESS($C13+1,3))</f>
        <v>water</v>
      </c>
      <c r="M13" t="str" cm="1">
        <f t="array" aca="1" ref="M13" ca="1">INDIRECT("'"&amp;M$1&amp;"'!" &amp; ADDRESS($C13+1,4))</f>
        <v>water</v>
      </c>
      <c r="N13" t="str" cm="1">
        <f t="array" aca="1" ref="N13" ca="1">INDIRECT("'"&amp;N$1&amp;"'!" &amp; ADDRESS($C13+1,3))</f>
        <v>road</v>
      </c>
      <c r="O13" t="str" cm="1">
        <f t="array" aca="1" ref="O13" ca="1">INDIRECT("'"&amp;O$1&amp;"'!" &amp; ADDRESS($C13+1,4))</f>
        <v>safety</v>
      </c>
      <c r="P13" t="str" cm="1">
        <f t="array" aca="1" ref="P13" ca="1">INDIRECT("'"&amp;P$1&amp;"'!" &amp; ADDRESS($C13+1,3))</f>
        <v>road</v>
      </c>
      <c r="Q13" t="str" cm="1">
        <f t="array" aca="1" ref="Q13" ca="1">INDIRECT("'"&amp;Q$1&amp;"'!" &amp; ADDRESS($C13+1,4))</f>
        <v>water</v>
      </c>
      <c r="R13" t="str" cm="1">
        <f t="array" aca="1" ref="R13" ca="1">INDIRECT("'"&amp;R$1&amp;"'!" &amp; ADDRESS($C13+1,3))</f>
        <v>waste</v>
      </c>
      <c r="S13" t="str" cm="1">
        <f t="array" aca="1" ref="S13" ca="1">INDIRECT("'"&amp;S$1&amp;"'!" &amp; ADDRESS($C13+1,4))</f>
        <v>waste</v>
      </c>
      <c r="T13" t="str" cm="1">
        <f t="array" aca="1" ref="T13" ca="1">INDIRECT("'"&amp;T$1&amp;"'!" &amp; ADDRESS($C13+1,3))</f>
        <v>road</v>
      </c>
      <c r="U13" t="str" cm="1">
        <f t="array" aca="1" ref="U13" ca="1">INDIRECT("'"&amp;U$1&amp;"'!" &amp; ADDRESS($C13+1,4))</f>
        <v>road</v>
      </c>
      <c r="V13" t="str" cm="1">
        <f t="array" aca="1" ref="V13" ca="1">INDIRECT("'"&amp;V$1&amp;"'!" &amp; ADDRESS($C13+1,3))</f>
        <v>waste</v>
      </c>
      <c r="W13" t="str" cm="1">
        <f t="array" aca="1" ref="W13" ca="1">INDIRECT("'"&amp;W$1&amp;"'!" &amp; ADDRESS($C13+1,4))</f>
        <v>waste</v>
      </c>
    </row>
    <row r="14" spans="1:23" x14ac:dyDescent="0.3">
      <c r="A14" t="s">
        <v>144</v>
      </c>
      <c r="B14">
        <f>MAX(B3:B12)</f>
        <v>0.66666666666666663</v>
      </c>
    </row>
    <row r="15" spans="1:23" x14ac:dyDescent="0.3">
      <c r="A15" t="s">
        <v>145</v>
      </c>
      <c r="B15">
        <f>AVERAGE(B3:B12)</f>
        <v>0.59166666666666667</v>
      </c>
    </row>
    <row r="16" spans="1:23" x14ac:dyDescent="0.3">
      <c r="C16" t="s">
        <v>19</v>
      </c>
      <c r="D16">
        <f ca="1">COUNTIF(D$2:D$12,$C16)</f>
        <v>2</v>
      </c>
      <c r="E16">
        <f t="shared" ref="E16:W19" ca="1" si="0">COUNTIF(E$2:E$12,$C16)</f>
        <v>0</v>
      </c>
      <c r="F16">
        <f t="shared" ca="1" si="0"/>
        <v>3</v>
      </c>
      <c r="G16">
        <f t="shared" ca="1" si="0"/>
        <v>1</v>
      </c>
      <c r="H16">
        <f t="shared" ca="1" si="0"/>
        <v>3</v>
      </c>
      <c r="I16">
        <f t="shared" ca="1" si="0"/>
        <v>3</v>
      </c>
      <c r="J16">
        <f t="shared" ca="1" si="0"/>
        <v>2</v>
      </c>
      <c r="K16">
        <f t="shared" ca="1" si="0"/>
        <v>1</v>
      </c>
      <c r="L16">
        <f t="shared" ca="1" si="0"/>
        <v>3</v>
      </c>
      <c r="M16">
        <f t="shared" ca="1" si="0"/>
        <v>2</v>
      </c>
      <c r="N16">
        <f t="shared" ca="1" si="0"/>
        <v>2</v>
      </c>
      <c r="O16">
        <f t="shared" ca="1" si="0"/>
        <v>1</v>
      </c>
      <c r="P16">
        <f t="shared" ca="1" si="0"/>
        <v>2</v>
      </c>
      <c r="Q16">
        <f t="shared" ca="1" si="0"/>
        <v>3</v>
      </c>
      <c r="R16">
        <f t="shared" ca="1" si="0"/>
        <v>3</v>
      </c>
      <c r="S16">
        <f t="shared" ca="1" si="0"/>
        <v>1</v>
      </c>
      <c r="T16">
        <f t="shared" ca="1" si="0"/>
        <v>2</v>
      </c>
      <c r="U16">
        <f t="shared" ca="1" si="0"/>
        <v>4</v>
      </c>
      <c r="V16">
        <f t="shared" ca="1" si="0"/>
        <v>3</v>
      </c>
      <c r="W16">
        <f t="shared" ca="1" si="0"/>
        <v>2</v>
      </c>
    </row>
    <row r="17" spans="3:23" x14ac:dyDescent="0.3">
      <c r="C17" t="s">
        <v>17</v>
      </c>
      <c r="D17">
        <f t="shared" ref="D17:S19" ca="1" si="1">COUNTIF(D$2:D$12,$C17)</f>
        <v>3</v>
      </c>
      <c r="E17">
        <f t="shared" ca="1" si="0"/>
        <v>2</v>
      </c>
      <c r="F17">
        <f t="shared" ca="1" si="1"/>
        <v>2</v>
      </c>
      <c r="G17">
        <f t="shared" ca="1" si="1"/>
        <v>5</v>
      </c>
      <c r="H17">
        <f t="shared" ca="1" si="1"/>
        <v>3</v>
      </c>
      <c r="I17">
        <f t="shared" ca="1" si="1"/>
        <v>1</v>
      </c>
      <c r="J17">
        <f t="shared" ca="1" si="1"/>
        <v>3</v>
      </c>
      <c r="K17">
        <f t="shared" ca="1" si="1"/>
        <v>2</v>
      </c>
      <c r="L17">
        <f t="shared" ca="1" si="1"/>
        <v>3</v>
      </c>
      <c r="M17">
        <f t="shared" ca="1" si="1"/>
        <v>3</v>
      </c>
      <c r="N17">
        <f t="shared" ca="1" si="1"/>
        <v>3</v>
      </c>
      <c r="O17">
        <f t="shared" ca="1" si="1"/>
        <v>4</v>
      </c>
      <c r="P17">
        <f t="shared" ca="1" si="1"/>
        <v>3</v>
      </c>
      <c r="Q17">
        <f t="shared" ca="1" si="1"/>
        <v>3</v>
      </c>
      <c r="R17">
        <f t="shared" ca="1" si="1"/>
        <v>2</v>
      </c>
      <c r="S17">
        <f t="shared" ca="1" si="1"/>
        <v>2</v>
      </c>
      <c r="T17">
        <f t="shared" ca="1" si="0"/>
        <v>3</v>
      </c>
      <c r="U17">
        <f t="shared" ca="1" si="0"/>
        <v>1</v>
      </c>
      <c r="V17">
        <f t="shared" ca="1" si="0"/>
        <v>2</v>
      </c>
      <c r="W17">
        <f t="shared" ca="1" si="0"/>
        <v>4</v>
      </c>
    </row>
    <row r="18" spans="3:23" x14ac:dyDescent="0.3">
      <c r="C18" t="s">
        <v>18</v>
      </c>
      <c r="D18">
        <f t="shared" ca="1" si="1"/>
        <v>3</v>
      </c>
      <c r="E18">
        <f t="shared" ca="1" si="0"/>
        <v>5</v>
      </c>
      <c r="F18">
        <f t="shared" ca="1" si="0"/>
        <v>3</v>
      </c>
      <c r="G18">
        <f t="shared" ca="1" si="0"/>
        <v>4</v>
      </c>
      <c r="H18">
        <f t="shared" ca="1" si="0"/>
        <v>3</v>
      </c>
      <c r="I18">
        <f t="shared" ca="1" si="0"/>
        <v>4</v>
      </c>
      <c r="J18">
        <f t="shared" ca="1" si="0"/>
        <v>3</v>
      </c>
      <c r="K18">
        <f t="shared" ca="1" si="0"/>
        <v>4</v>
      </c>
      <c r="L18">
        <f t="shared" ca="1" si="0"/>
        <v>3</v>
      </c>
      <c r="M18">
        <f t="shared" ca="1" si="0"/>
        <v>3</v>
      </c>
      <c r="N18">
        <f t="shared" ca="1" si="0"/>
        <v>3</v>
      </c>
      <c r="O18">
        <f t="shared" ca="1" si="0"/>
        <v>4</v>
      </c>
      <c r="P18">
        <f t="shared" ca="1" si="0"/>
        <v>3</v>
      </c>
      <c r="Q18">
        <f t="shared" ca="1" si="0"/>
        <v>3</v>
      </c>
      <c r="R18">
        <f t="shared" ca="1" si="0"/>
        <v>3</v>
      </c>
      <c r="S18">
        <f t="shared" ca="1" si="0"/>
        <v>4</v>
      </c>
      <c r="T18">
        <f t="shared" ca="1" si="0"/>
        <v>3</v>
      </c>
      <c r="U18">
        <f t="shared" ca="1" si="0"/>
        <v>3</v>
      </c>
      <c r="V18">
        <f t="shared" ca="1" si="0"/>
        <v>3</v>
      </c>
      <c r="W18">
        <f t="shared" ca="1" si="0"/>
        <v>2</v>
      </c>
    </row>
    <row r="19" spans="3:23" x14ac:dyDescent="0.3">
      <c r="C19" t="s">
        <v>20</v>
      </c>
      <c r="D19">
        <f t="shared" ca="1" si="1"/>
        <v>3</v>
      </c>
      <c r="E19">
        <f t="shared" ca="1" si="0"/>
        <v>4</v>
      </c>
      <c r="F19">
        <f t="shared" ca="1" si="0"/>
        <v>3</v>
      </c>
      <c r="G19">
        <f t="shared" ca="1" si="0"/>
        <v>1</v>
      </c>
      <c r="H19">
        <f t="shared" ca="1" si="0"/>
        <v>2</v>
      </c>
      <c r="I19">
        <f t="shared" ca="1" si="0"/>
        <v>3</v>
      </c>
      <c r="J19">
        <f t="shared" ca="1" si="0"/>
        <v>3</v>
      </c>
      <c r="K19">
        <f t="shared" ca="1" si="0"/>
        <v>4</v>
      </c>
      <c r="L19">
        <f t="shared" ca="1" si="0"/>
        <v>2</v>
      </c>
      <c r="M19">
        <f t="shared" ca="1" si="0"/>
        <v>3</v>
      </c>
      <c r="N19">
        <f t="shared" ca="1" si="0"/>
        <v>3</v>
      </c>
      <c r="O19">
        <f t="shared" ca="1" si="0"/>
        <v>2</v>
      </c>
      <c r="P19">
        <f t="shared" ca="1" si="0"/>
        <v>3</v>
      </c>
      <c r="Q19">
        <f t="shared" ca="1" si="0"/>
        <v>2</v>
      </c>
      <c r="R19">
        <f t="shared" ca="1" si="0"/>
        <v>3</v>
      </c>
      <c r="S19">
        <f t="shared" ca="1" si="0"/>
        <v>4</v>
      </c>
      <c r="T19">
        <f t="shared" ca="1" si="0"/>
        <v>3</v>
      </c>
      <c r="U19">
        <f t="shared" ca="1" si="0"/>
        <v>3</v>
      </c>
      <c r="V19">
        <f t="shared" ca="1" si="0"/>
        <v>3</v>
      </c>
      <c r="W19">
        <f t="shared" ca="1" si="0"/>
        <v>3</v>
      </c>
    </row>
  </sheetData>
  <phoneticPr fontId="1" type="noConversion"/>
  <conditionalFormatting sqref="D1:W13">
    <cfRule type="expression" dxfId="2" priority="2">
      <formula>MOD(COLUMN(),2)=0</formula>
    </cfRule>
  </conditionalFormatting>
  <conditionalFormatting sqref="E2:E13 G2:G13 I2:I13 K2:K13 M2:M13 O2:O13 Q2:Q13 S2:S13 U2:U13 W2:W13">
    <cfRule type="expression" dxfId="1" priority="3">
      <formula>E2&lt;&gt;D2</formula>
    </cfRule>
  </conditionalFormatting>
  <conditionalFormatting sqref="E16:E19">
    <cfRule type="expression" dxfId="0" priority="1">
      <formula>$E$16=$D$16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selection activeCell="F2" sqref="F2"/>
    </sheetView>
  </sheetViews>
  <sheetFormatPr defaultRowHeight="14.4" x14ac:dyDescent="0.3"/>
  <cols>
    <col min="2" max="2" width="59.44140625" bestFit="1" customWidth="1"/>
    <col min="3" max="3" width="12.77734375" bestFit="1" customWidth="1"/>
    <col min="4" max="4" width="17.6640625" bestFit="1" customWidth="1"/>
    <col min="5" max="5" width="15.109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5</v>
      </c>
      <c r="C2" t="s">
        <v>17</v>
      </c>
      <c r="D2" t="s">
        <v>17</v>
      </c>
      <c r="E2" t="s">
        <v>21</v>
      </c>
      <c r="F2">
        <v>0.66666666666666663</v>
      </c>
    </row>
    <row r="3" spans="1:6" x14ac:dyDescent="0.3">
      <c r="A3">
        <v>1</v>
      </c>
      <c r="B3" t="s">
        <v>6</v>
      </c>
      <c r="C3" t="s">
        <v>18</v>
      </c>
      <c r="D3" t="s">
        <v>18</v>
      </c>
      <c r="E3" t="s">
        <v>22</v>
      </c>
    </row>
    <row r="4" spans="1:6" x14ac:dyDescent="0.3">
      <c r="A4">
        <v>2</v>
      </c>
      <c r="B4" t="s">
        <v>7</v>
      </c>
      <c r="C4" t="s">
        <v>18</v>
      </c>
      <c r="D4" t="s">
        <v>18</v>
      </c>
      <c r="E4" t="s">
        <v>23</v>
      </c>
    </row>
    <row r="5" spans="1:6" x14ac:dyDescent="0.3">
      <c r="A5">
        <v>3</v>
      </c>
      <c r="B5" t="s">
        <v>8</v>
      </c>
      <c r="C5" t="s">
        <v>19</v>
      </c>
      <c r="D5" t="s">
        <v>18</v>
      </c>
      <c r="E5" t="s">
        <v>24</v>
      </c>
    </row>
    <row r="6" spans="1:6" x14ac:dyDescent="0.3">
      <c r="A6">
        <v>4</v>
      </c>
      <c r="B6" t="s">
        <v>9</v>
      </c>
      <c r="C6" t="s">
        <v>18</v>
      </c>
      <c r="D6" t="s">
        <v>18</v>
      </c>
      <c r="E6" t="s">
        <v>25</v>
      </c>
    </row>
    <row r="7" spans="1:6" x14ac:dyDescent="0.3">
      <c r="A7">
        <v>5</v>
      </c>
      <c r="B7" t="s">
        <v>10</v>
      </c>
      <c r="C7" t="s">
        <v>20</v>
      </c>
      <c r="D7" t="s">
        <v>20</v>
      </c>
      <c r="E7" t="s">
        <v>26</v>
      </c>
    </row>
    <row r="8" spans="1:6" x14ac:dyDescent="0.3">
      <c r="A8">
        <v>6</v>
      </c>
      <c r="B8" t="s">
        <v>11</v>
      </c>
      <c r="C8" t="s">
        <v>20</v>
      </c>
      <c r="D8" t="s">
        <v>20</v>
      </c>
      <c r="E8" t="s">
        <v>27</v>
      </c>
    </row>
    <row r="9" spans="1:6" x14ac:dyDescent="0.3">
      <c r="A9">
        <v>7</v>
      </c>
      <c r="B9" t="s">
        <v>12</v>
      </c>
      <c r="C9" t="s">
        <v>17</v>
      </c>
      <c r="D9" t="s">
        <v>18</v>
      </c>
      <c r="E9" t="s">
        <v>28</v>
      </c>
    </row>
    <row r="10" spans="1:6" x14ac:dyDescent="0.3">
      <c r="A10">
        <v>8</v>
      </c>
      <c r="B10" t="s">
        <v>13</v>
      </c>
      <c r="C10" t="s">
        <v>20</v>
      </c>
      <c r="D10" t="s">
        <v>20</v>
      </c>
      <c r="E10" t="s">
        <v>29</v>
      </c>
    </row>
    <row r="11" spans="1:6" x14ac:dyDescent="0.3">
      <c r="A11">
        <v>9</v>
      </c>
      <c r="B11" t="s">
        <v>14</v>
      </c>
      <c r="C11" t="s">
        <v>17</v>
      </c>
      <c r="D11" t="s">
        <v>17</v>
      </c>
      <c r="E11" t="s">
        <v>30</v>
      </c>
    </row>
    <row r="12" spans="1:6" x14ac:dyDescent="0.3">
      <c r="A12">
        <v>10</v>
      </c>
      <c r="B12" t="s">
        <v>15</v>
      </c>
      <c r="C12" t="s">
        <v>19</v>
      </c>
      <c r="D12" t="s">
        <v>20</v>
      </c>
      <c r="E12" t="s">
        <v>31</v>
      </c>
    </row>
    <row r="13" spans="1:6" x14ac:dyDescent="0.3">
      <c r="A13">
        <v>11</v>
      </c>
      <c r="B13" t="s">
        <v>16</v>
      </c>
      <c r="C13" t="s">
        <v>19</v>
      </c>
      <c r="D13" t="s">
        <v>18</v>
      </c>
      <c r="E13" t="s">
        <v>32</v>
      </c>
    </row>
    <row r="14" spans="1:6" x14ac:dyDescent="0.3">
      <c r="A14">
        <v>12</v>
      </c>
      <c r="E14" t="s">
        <v>33</v>
      </c>
    </row>
    <row r="15" spans="1:6" x14ac:dyDescent="0.3">
      <c r="A15">
        <v>13</v>
      </c>
      <c r="E15" t="s">
        <v>34</v>
      </c>
    </row>
    <row r="16" spans="1:6" x14ac:dyDescent="0.3">
      <c r="A16">
        <v>14</v>
      </c>
      <c r="E16" t="s">
        <v>35</v>
      </c>
    </row>
    <row r="17" spans="1:5" x14ac:dyDescent="0.3">
      <c r="A17">
        <v>15</v>
      </c>
      <c r="E17" t="s">
        <v>36</v>
      </c>
    </row>
    <row r="18" spans="1:5" x14ac:dyDescent="0.3">
      <c r="A18">
        <v>16</v>
      </c>
      <c r="E18" t="s">
        <v>37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39</v>
      </c>
    </row>
    <row r="21" spans="1:5" x14ac:dyDescent="0.3">
      <c r="A21">
        <v>19</v>
      </c>
      <c r="E21" t="s">
        <v>40</v>
      </c>
    </row>
    <row r="22" spans="1:5" x14ac:dyDescent="0.3">
      <c r="A22">
        <v>20</v>
      </c>
      <c r="E22" t="s">
        <v>41</v>
      </c>
    </row>
    <row r="23" spans="1:5" x14ac:dyDescent="0.3">
      <c r="A23">
        <v>21</v>
      </c>
      <c r="E23" t="s">
        <v>42</v>
      </c>
    </row>
    <row r="24" spans="1:5" x14ac:dyDescent="0.3">
      <c r="A24">
        <v>22</v>
      </c>
      <c r="E24" t="s">
        <v>43</v>
      </c>
    </row>
    <row r="25" spans="1:5" x14ac:dyDescent="0.3">
      <c r="A25">
        <v>23</v>
      </c>
      <c r="E25" t="s">
        <v>44</v>
      </c>
    </row>
    <row r="26" spans="1:5" x14ac:dyDescent="0.3">
      <c r="A26">
        <v>24</v>
      </c>
      <c r="E26" t="s">
        <v>45</v>
      </c>
    </row>
    <row r="27" spans="1:5" x14ac:dyDescent="0.3">
      <c r="A27">
        <v>25</v>
      </c>
      <c r="E27" t="s">
        <v>46</v>
      </c>
    </row>
    <row r="28" spans="1:5" x14ac:dyDescent="0.3">
      <c r="A28">
        <v>26</v>
      </c>
      <c r="E28" t="s">
        <v>47</v>
      </c>
    </row>
    <row r="29" spans="1:5" x14ac:dyDescent="0.3">
      <c r="A29">
        <v>27</v>
      </c>
      <c r="E29" t="s">
        <v>48</v>
      </c>
    </row>
    <row r="30" spans="1:5" x14ac:dyDescent="0.3">
      <c r="A30">
        <v>28</v>
      </c>
      <c r="E30" t="s">
        <v>49</v>
      </c>
    </row>
    <row r="31" spans="1:5" x14ac:dyDescent="0.3">
      <c r="A31">
        <v>29</v>
      </c>
      <c r="E31" t="s">
        <v>50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53</v>
      </c>
    </row>
    <row r="35" spans="1:5" x14ac:dyDescent="0.3">
      <c r="A35">
        <v>33</v>
      </c>
      <c r="E35" t="s">
        <v>54</v>
      </c>
    </row>
    <row r="36" spans="1:5" x14ac:dyDescent="0.3">
      <c r="A36">
        <v>34</v>
      </c>
      <c r="E36" t="s">
        <v>55</v>
      </c>
    </row>
    <row r="37" spans="1:5" x14ac:dyDescent="0.3">
      <c r="A37">
        <v>35</v>
      </c>
      <c r="E37" t="s">
        <v>56</v>
      </c>
    </row>
    <row r="38" spans="1:5" x14ac:dyDescent="0.3">
      <c r="A38">
        <v>36</v>
      </c>
      <c r="E38" t="s">
        <v>57</v>
      </c>
    </row>
    <row r="39" spans="1:5" x14ac:dyDescent="0.3">
      <c r="A39">
        <v>37</v>
      </c>
      <c r="E39" t="s">
        <v>58</v>
      </c>
    </row>
    <row r="40" spans="1:5" x14ac:dyDescent="0.3">
      <c r="A40">
        <v>38</v>
      </c>
      <c r="E40" t="s">
        <v>59</v>
      </c>
    </row>
    <row r="41" spans="1:5" x14ac:dyDescent="0.3">
      <c r="A41">
        <v>39</v>
      </c>
      <c r="E41" t="s">
        <v>60</v>
      </c>
    </row>
    <row r="42" spans="1:5" x14ac:dyDescent="0.3">
      <c r="A42">
        <v>40</v>
      </c>
      <c r="E42" t="s">
        <v>61</v>
      </c>
    </row>
    <row r="43" spans="1:5" x14ac:dyDescent="0.3">
      <c r="A43">
        <v>41</v>
      </c>
      <c r="E43" t="s">
        <v>62</v>
      </c>
    </row>
    <row r="44" spans="1:5" x14ac:dyDescent="0.3">
      <c r="A44">
        <v>42</v>
      </c>
      <c r="E44" t="s">
        <v>63</v>
      </c>
    </row>
    <row r="45" spans="1:5" x14ac:dyDescent="0.3">
      <c r="A45">
        <v>43</v>
      </c>
      <c r="E45" t="s">
        <v>64</v>
      </c>
    </row>
    <row r="46" spans="1:5" x14ac:dyDescent="0.3">
      <c r="A46">
        <v>44</v>
      </c>
      <c r="E46" t="s">
        <v>65</v>
      </c>
    </row>
    <row r="47" spans="1:5" x14ac:dyDescent="0.3">
      <c r="A47">
        <v>45</v>
      </c>
      <c r="E47" t="s">
        <v>19</v>
      </c>
    </row>
    <row r="48" spans="1:5" x14ac:dyDescent="0.3">
      <c r="A48">
        <v>46</v>
      </c>
      <c r="E48" t="s">
        <v>66</v>
      </c>
    </row>
    <row r="49" spans="1:5" x14ac:dyDescent="0.3">
      <c r="A49">
        <v>47</v>
      </c>
      <c r="E49" t="s">
        <v>67</v>
      </c>
    </row>
    <row r="50" spans="1:5" x14ac:dyDescent="0.3">
      <c r="A50">
        <v>48</v>
      </c>
      <c r="E50" t="s">
        <v>68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workbookViewId="0">
      <selection activeCell="C2" sqref="C2"/>
    </sheetView>
  </sheetViews>
  <sheetFormatPr defaultRowHeight="14.4" x14ac:dyDescent="0.3"/>
  <cols>
    <col min="2" max="2" width="61.109375" bestFit="1" customWidth="1"/>
    <col min="3" max="3" width="12.77734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77</v>
      </c>
      <c r="C2" t="s">
        <v>17</v>
      </c>
      <c r="D2" t="s">
        <v>17</v>
      </c>
      <c r="E2" t="s">
        <v>21</v>
      </c>
      <c r="F2">
        <v>0.5</v>
      </c>
    </row>
    <row r="3" spans="1:6" x14ac:dyDescent="0.3">
      <c r="A3">
        <v>1</v>
      </c>
      <c r="B3" t="s">
        <v>15</v>
      </c>
      <c r="C3" t="s">
        <v>19</v>
      </c>
      <c r="D3" t="s">
        <v>18</v>
      </c>
      <c r="E3" t="s">
        <v>22</v>
      </c>
    </row>
    <row r="4" spans="1:6" x14ac:dyDescent="0.3">
      <c r="A4">
        <v>2</v>
      </c>
      <c r="B4" t="s">
        <v>78</v>
      </c>
      <c r="C4" t="s">
        <v>19</v>
      </c>
      <c r="D4" t="s">
        <v>18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17</v>
      </c>
      <c r="E5" t="s">
        <v>86</v>
      </c>
    </row>
    <row r="6" spans="1:6" x14ac:dyDescent="0.3">
      <c r="A6">
        <v>4</v>
      </c>
      <c r="B6" t="s">
        <v>79</v>
      </c>
      <c r="C6" t="s">
        <v>20</v>
      </c>
      <c r="D6" t="s">
        <v>17</v>
      </c>
      <c r="E6" t="s">
        <v>23</v>
      </c>
    </row>
    <row r="7" spans="1:6" x14ac:dyDescent="0.3">
      <c r="A7">
        <v>5</v>
      </c>
      <c r="B7" t="s">
        <v>6</v>
      </c>
      <c r="C7" t="s">
        <v>18</v>
      </c>
      <c r="D7" t="s">
        <v>18</v>
      </c>
      <c r="E7" t="s">
        <v>24</v>
      </c>
    </row>
    <row r="8" spans="1:6" x14ac:dyDescent="0.3">
      <c r="A8">
        <v>6</v>
      </c>
      <c r="B8" t="s">
        <v>80</v>
      </c>
      <c r="C8" t="s">
        <v>20</v>
      </c>
      <c r="D8" t="s">
        <v>17</v>
      </c>
      <c r="E8" t="s">
        <v>87</v>
      </c>
    </row>
    <row r="9" spans="1:6" x14ac:dyDescent="0.3">
      <c r="A9">
        <v>7</v>
      </c>
      <c r="B9" t="s">
        <v>81</v>
      </c>
      <c r="C9" t="s">
        <v>19</v>
      </c>
      <c r="D9" t="s">
        <v>17</v>
      </c>
      <c r="E9" t="s">
        <v>25</v>
      </c>
    </row>
    <row r="10" spans="1:6" x14ac:dyDescent="0.3">
      <c r="A10">
        <v>8</v>
      </c>
      <c r="B10" t="s">
        <v>10</v>
      </c>
      <c r="C10" t="s">
        <v>20</v>
      </c>
      <c r="D10" t="s">
        <v>20</v>
      </c>
      <c r="E10" t="s">
        <v>88</v>
      </c>
    </row>
    <row r="11" spans="1:6" x14ac:dyDescent="0.3">
      <c r="A11">
        <v>9</v>
      </c>
      <c r="B11" t="s">
        <v>82</v>
      </c>
      <c r="C11" t="s">
        <v>18</v>
      </c>
      <c r="D11" t="s">
        <v>19</v>
      </c>
      <c r="E11" t="s">
        <v>26</v>
      </c>
    </row>
    <row r="12" spans="1:6" x14ac:dyDescent="0.3">
      <c r="A12">
        <v>10</v>
      </c>
      <c r="B12" t="s">
        <v>83</v>
      </c>
      <c r="C12" t="s">
        <v>18</v>
      </c>
      <c r="D12" t="s">
        <v>18</v>
      </c>
      <c r="E12" t="s">
        <v>27</v>
      </c>
    </row>
    <row r="13" spans="1:6" x14ac:dyDescent="0.3">
      <c r="A13">
        <v>11</v>
      </c>
      <c r="B13" t="s">
        <v>84</v>
      </c>
      <c r="C13" t="s">
        <v>17</v>
      </c>
      <c r="D13" t="s">
        <v>17</v>
      </c>
      <c r="E13" t="s">
        <v>28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89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31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37</v>
      </c>
    </row>
    <row r="22" spans="1:5" x14ac:dyDescent="0.3">
      <c r="A22">
        <v>20</v>
      </c>
      <c r="E22" t="s">
        <v>38</v>
      </c>
    </row>
    <row r="23" spans="1:5" x14ac:dyDescent="0.3">
      <c r="A23">
        <v>21</v>
      </c>
      <c r="E23" t="s">
        <v>91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42</v>
      </c>
    </row>
    <row r="28" spans="1:5" x14ac:dyDescent="0.3">
      <c r="A28">
        <v>26</v>
      </c>
      <c r="E28" t="s">
        <v>44</v>
      </c>
    </row>
    <row r="29" spans="1:5" x14ac:dyDescent="0.3">
      <c r="A29">
        <v>27</v>
      </c>
      <c r="E29" t="s">
        <v>46</v>
      </c>
    </row>
    <row r="30" spans="1:5" x14ac:dyDescent="0.3">
      <c r="A30">
        <v>28</v>
      </c>
      <c r="E30" t="s">
        <v>47</v>
      </c>
    </row>
    <row r="31" spans="1:5" x14ac:dyDescent="0.3">
      <c r="A31">
        <v>29</v>
      </c>
      <c r="E31" t="s">
        <v>92</v>
      </c>
    </row>
    <row r="32" spans="1:5" x14ac:dyDescent="0.3">
      <c r="A32">
        <v>30</v>
      </c>
      <c r="E32" t="s">
        <v>48</v>
      </c>
    </row>
    <row r="33" spans="1:5" x14ac:dyDescent="0.3">
      <c r="A33">
        <v>31</v>
      </c>
      <c r="E33" t="s">
        <v>49</v>
      </c>
    </row>
    <row r="34" spans="1:5" x14ac:dyDescent="0.3">
      <c r="A34">
        <v>32</v>
      </c>
      <c r="E34" t="s">
        <v>50</v>
      </c>
    </row>
    <row r="35" spans="1:5" x14ac:dyDescent="0.3">
      <c r="A35">
        <v>33</v>
      </c>
      <c r="E35" t="s">
        <v>51</v>
      </c>
    </row>
    <row r="36" spans="1:5" x14ac:dyDescent="0.3">
      <c r="A36">
        <v>34</v>
      </c>
      <c r="E36" t="s">
        <v>52</v>
      </c>
    </row>
    <row r="37" spans="1:5" x14ac:dyDescent="0.3">
      <c r="A37">
        <v>35</v>
      </c>
      <c r="E37" t="s">
        <v>53</v>
      </c>
    </row>
    <row r="38" spans="1:5" x14ac:dyDescent="0.3">
      <c r="A38">
        <v>36</v>
      </c>
      <c r="E38" t="s">
        <v>54</v>
      </c>
    </row>
    <row r="39" spans="1:5" x14ac:dyDescent="0.3">
      <c r="A39">
        <v>37</v>
      </c>
      <c r="E39" t="s">
        <v>56</v>
      </c>
    </row>
    <row r="40" spans="1:5" x14ac:dyDescent="0.3">
      <c r="A40">
        <v>38</v>
      </c>
      <c r="E40" t="s">
        <v>57</v>
      </c>
    </row>
    <row r="41" spans="1:5" x14ac:dyDescent="0.3">
      <c r="A41">
        <v>39</v>
      </c>
      <c r="E41" t="s">
        <v>93</v>
      </c>
    </row>
    <row r="42" spans="1:5" x14ac:dyDescent="0.3">
      <c r="A42">
        <v>40</v>
      </c>
      <c r="E42" t="s">
        <v>58</v>
      </c>
    </row>
    <row r="43" spans="1:5" x14ac:dyDescent="0.3">
      <c r="A43">
        <v>41</v>
      </c>
      <c r="E43" t="s">
        <v>59</v>
      </c>
    </row>
    <row r="44" spans="1:5" x14ac:dyDescent="0.3">
      <c r="A44">
        <v>42</v>
      </c>
      <c r="E44" t="s">
        <v>60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62</v>
      </c>
    </row>
    <row r="47" spans="1:5" x14ac:dyDescent="0.3">
      <c r="A47">
        <v>45</v>
      </c>
      <c r="E47" t="s">
        <v>63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65</v>
      </c>
    </row>
    <row r="50" spans="1:5" x14ac:dyDescent="0.3">
      <c r="A50">
        <v>48</v>
      </c>
      <c r="E50" t="s">
        <v>19</v>
      </c>
    </row>
    <row r="51" spans="1:5" x14ac:dyDescent="0.3">
      <c r="A51">
        <v>49</v>
      </c>
      <c r="E51" t="s">
        <v>66</v>
      </c>
    </row>
    <row r="52" spans="1:5" x14ac:dyDescent="0.3">
      <c r="A52">
        <v>50</v>
      </c>
      <c r="E52" t="s">
        <v>94</v>
      </c>
    </row>
    <row r="53" spans="1:5" x14ac:dyDescent="0.3">
      <c r="A53">
        <v>51</v>
      </c>
      <c r="E53" t="s">
        <v>95</v>
      </c>
    </row>
    <row r="54" spans="1:5" x14ac:dyDescent="0.3">
      <c r="A54">
        <v>52</v>
      </c>
      <c r="E54" t="s">
        <v>67</v>
      </c>
    </row>
    <row r="55" spans="1:5" x14ac:dyDescent="0.3">
      <c r="A55">
        <v>53</v>
      </c>
      <c r="E55" t="s">
        <v>68</v>
      </c>
    </row>
    <row r="56" spans="1:5" x14ac:dyDescent="0.3">
      <c r="A56">
        <v>54</v>
      </c>
      <c r="E56" t="s">
        <v>96</v>
      </c>
    </row>
    <row r="57" spans="1:5" x14ac:dyDescent="0.3">
      <c r="A57">
        <v>55</v>
      </c>
      <c r="E57" t="s">
        <v>97</v>
      </c>
    </row>
    <row r="58" spans="1:5" x14ac:dyDescent="0.3">
      <c r="A58">
        <v>56</v>
      </c>
      <c r="E58" t="s">
        <v>69</v>
      </c>
    </row>
    <row r="59" spans="1:5" x14ac:dyDescent="0.3">
      <c r="A59">
        <v>57</v>
      </c>
      <c r="E59" t="s">
        <v>70</v>
      </c>
    </row>
    <row r="60" spans="1:5" x14ac:dyDescent="0.3">
      <c r="A60">
        <v>58</v>
      </c>
      <c r="E60" t="s">
        <v>71</v>
      </c>
    </row>
    <row r="61" spans="1:5" x14ac:dyDescent="0.3">
      <c r="A61">
        <v>59</v>
      </c>
      <c r="E61" t="s">
        <v>73</v>
      </c>
    </row>
    <row r="62" spans="1:5" x14ac:dyDescent="0.3">
      <c r="A62">
        <v>60</v>
      </c>
      <c r="E62" t="s">
        <v>74</v>
      </c>
    </row>
    <row r="63" spans="1:5" x14ac:dyDescent="0.3">
      <c r="A63">
        <v>61</v>
      </c>
      <c r="E63" t="s">
        <v>75</v>
      </c>
    </row>
    <row r="64" spans="1:5" x14ac:dyDescent="0.3">
      <c r="A64">
        <v>62</v>
      </c>
      <c r="E64" t="s">
        <v>76</v>
      </c>
    </row>
    <row r="65" spans="1:5" x14ac:dyDescent="0.3">
      <c r="A65">
        <v>63</v>
      </c>
      <c r="E65" t="s">
        <v>17</v>
      </c>
    </row>
    <row r="66" spans="1:5" x14ac:dyDescent="0.3">
      <c r="A66">
        <v>64</v>
      </c>
      <c r="E66" t="s">
        <v>98</v>
      </c>
    </row>
    <row r="67" spans="1:5" x14ac:dyDescent="0.3">
      <c r="A67">
        <v>65</v>
      </c>
      <c r="E6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83</v>
      </c>
      <c r="C2" t="s">
        <v>18</v>
      </c>
      <c r="D2" t="s">
        <v>18</v>
      </c>
      <c r="E2" t="s">
        <v>22</v>
      </c>
      <c r="F2">
        <v>0.66666666666666663</v>
      </c>
    </row>
    <row r="3" spans="1:6" x14ac:dyDescent="0.3">
      <c r="A3">
        <v>1</v>
      </c>
      <c r="B3" t="s">
        <v>99</v>
      </c>
      <c r="C3" t="s">
        <v>20</v>
      </c>
      <c r="D3" t="s">
        <v>20</v>
      </c>
      <c r="E3" t="s">
        <v>107</v>
      </c>
    </row>
    <row r="4" spans="1:6" x14ac:dyDescent="0.3">
      <c r="A4">
        <v>2</v>
      </c>
      <c r="B4" t="s">
        <v>100</v>
      </c>
      <c r="C4" t="s">
        <v>19</v>
      </c>
      <c r="D4" t="s">
        <v>19</v>
      </c>
      <c r="E4" t="s">
        <v>85</v>
      </c>
    </row>
    <row r="5" spans="1:6" x14ac:dyDescent="0.3">
      <c r="A5">
        <v>3</v>
      </c>
      <c r="B5" t="s">
        <v>101</v>
      </c>
      <c r="C5" t="s">
        <v>19</v>
      </c>
      <c r="D5" t="s">
        <v>18</v>
      </c>
      <c r="E5" t="s">
        <v>86</v>
      </c>
    </row>
    <row r="6" spans="1:6" x14ac:dyDescent="0.3">
      <c r="A6">
        <v>4</v>
      </c>
      <c r="B6" t="s">
        <v>102</v>
      </c>
      <c r="C6" t="s">
        <v>20</v>
      </c>
      <c r="D6" t="s">
        <v>20</v>
      </c>
      <c r="E6" t="s">
        <v>23</v>
      </c>
    </row>
    <row r="7" spans="1:6" x14ac:dyDescent="0.3">
      <c r="A7">
        <v>5</v>
      </c>
      <c r="B7" t="s">
        <v>103</v>
      </c>
      <c r="C7" t="s">
        <v>19</v>
      </c>
      <c r="D7" t="s">
        <v>19</v>
      </c>
      <c r="E7" t="s">
        <v>24</v>
      </c>
    </row>
    <row r="8" spans="1:6" x14ac:dyDescent="0.3">
      <c r="A8">
        <v>6</v>
      </c>
      <c r="B8" t="s">
        <v>104</v>
      </c>
      <c r="C8" t="s">
        <v>17</v>
      </c>
      <c r="D8" t="s">
        <v>18</v>
      </c>
      <c r="E8" t="s">
        <v>87</v>
      </c>
    </row>
    <row r="9" spans="1:6" x14ac:dyDescent="0.3">
      <c r="A9">
        <v>7</v>
      </c>
      <c r="B9" t="s">
        <v>105</v>
      </c>
      <c r="C9" t="s">
        <v>17</v>
      </c>
      <c r="D9" t="s">
        <v>19</v>
      </c>
      <c r="E9" t="s">
        <v>25</v>
      </c>
    </row>
    <row r="10" spans="1:6" x14ac:dyDescent="0.3">
      <c r="A10">
        <v>8</v>
      </c>
      <c r="B10" t="s">
        <v>106</v>
      </c>
      <c r="C10" t="s">
        <v>18</v>
      </c>
      <c r="D10" t="s">
        <v>20</v>
      </c>
      <c r="E10" t="s">
        <v>88</v>
      </c>
    </row>
    <row r="11" spans="1:6" x14ac:dyDescent="0.3">
      <c r="A11">
        <v>9</v>
      </c>
      <c r="B11" t="s">
        <v>7</v>
      </c>
      <c r="C11" t="s">
        <v>18</v>
      </c>
      <c r="D11" t="s">
        <v>18</v>
      </c>
      <c r="E11" t="s">
        <v>108</v>
      </c>
    </row>
    <row r="12" spans="1:6" x14ac:dyDescent="0.3">
      <c r="A12">
        <v>10</v>
      </c>
      <c r="B12" t="s">
        <v>84</v>
      </c>
      <c r="C12" t="s">
        <v>17</v>
      </c>
      <c r="D12" t="s">
        <v>17</v>
      </c>
      <c r="E12" t="s">
        <v>26</v>
      </c>
    </row>
    <row r="13" spans="1:6" x14ac:dyDescent="0.3">
      <c r="A13">
        <v>11</v>
      </c>
      <c r="B13" t="s">
        <v>10</v>
      </c>
      <c r="C13" t="s">
        <v>20</v>
      </c>
      <c r="D13" t="s">
        <v>20</v>
      </c>
      <c r="E13" t="s">
        <v>27</v>
      </c>
    </row>
    <row r="14" spans="1:6" x14ac:dyDescent="0.3">
      <c r="A14">
        <v>12</v>
      </c>
      <c r="E14" t="s">
        <v>28</v>
      </c>
    </row>
    <row r="15" spans="1:6" x14ac:dyDescent="0.3">
      <c r="A15">
        <v>13</v>
      </c>
      <c r="E15" t="s">
        <v>109</v>
      </c>
    </row>
    <row r="16" spans="1:6" x14ac:dyDescent="0.3">
      <c r="A16">
        <v>14</v>
      </c>
      <c r="E16" t="s">
        <v>31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110</v>
      </c>
    </row>
    <row r="19" spans="1:5" x14ac:dyDescent="0.3">
      <c r="A19">
        <v>17</v>
      </c>
      <c r="E19" t="s">
        <v>35</v>
      </c>
    </row>
    <row r="20" spans="1:5" x14ac:dyDescent="0.3">
      <c r="A20">
        <v>18</v>
      </c>
      <c r="E20" t="s">
        <v>36</v>
      </c>
    </row>
    <row r="21" spans="1:5" x14ac:dyDescent="0.3">
      <c r="A21">
        <v>19</v>
      </c>
      <c r="E21" t="s">
        <v>38</v>
      </c>
    </row>
    <row r="22" spans="1:5" x14ac:dyDescent="0.3">
      <c r="A22">
        <v>20</v>
      </c>
      <c r="E22" t="s">
        <v>91</v>
      </c>
    </row>
    <row r="23" spans="1:5" x14ac:dyDescent="0.3">
      <c r="A23">
        <v>21</v>
      </c>
      <c r="E23" t="s">
        <v>39</v>
      </c>
    </row>
    <row r="24" spans="1:5" x14ac:dyDescent="0.3">
      <c r="A24">
        <v>22</v>
      </c>
      <c r="E24" t="s">
        <v>40</v>
      </c>
    </row>
    <row r="25" spans="1:5" x14ac:dyDescent="0.3">
      <c r="A25">
        <v>23</v>
      </c>
      <c r="E25" t="s">
        <v>41</v>
      </c>
    </row>
    <row r="26" spans="1:5" x14ac:dyDescent="0.3">
      <c r="A26">
        <v>24</v>
      </c>
      <c r="E26" t="s">
        <v>111</v>
      </c>
    </row>
    <row r="27" spans="1:5" x14ac:dyDescent="0.3">
      <c r="A27">
        <v>25</v>
      </c>
      <c r="E27" t="s">
        <v>43</v>
      </c>
    </row>
    <row r="28" spans="1:5" x14ac:dyDescent="0.3">
      <c r="A28">
        <v>26</v>
      </c>
      <c r="E28" t="s">
        <v>44</v>
      </c>
    </row>
    <row r="29" spans="1:5" x14ac:dyDescent="0.3">
      <c r="A29">
        <v>27</v>
      </c>
      <c r="E29" t="s">
        <v>45</v>
      </c>
    </row>
    <row r="30" spans="1:5" x14ac:dyDescent="0.3">
      <c r="A30">
        <v>28</v>
      </c>
      <c r="E30" t="s">
        <v>46</v>
      </c>
    </row>
    <row r="31" spans="1:5" x14ac:dyDescent="0.3">
      <c r="A31">
        <v>29</v>
      </c>
      <c r="E31" t="s">
        <v>47</v>
      </c>
    </row>
    <row r="32" spans="1:5" x14ac:dyDescent="0.3">
      <c r="A32">
        <v>30</v>
      </c>
      <c r="E32" t="s">
        <v>92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51</v>
      </c>
    </row>
    <row r="36" spans="1:5" x14ac:dyDescent="0.3">
      <c r="A36">
        <v>34</v>
      </c>
      <c r="E36" t="s">
        <v>53</v>
      </c>
    </row>
    <row r="37" spans="1:5" x14ac:dyDescent="0.3">
      <c r="A37">
        <v>35</v>
      </c>
      <c r="E37" t="s">
        <v>54</v>
      </c>
    </row>
    <row r="38" spans="1:5" x14ac:dyDescent="0.3">
      <c r="A38">
        <v>36</v>
      </c>
      <c r="E38" t="s">
        <v>55</v>
      </c>
    </row>
    <row r="39" spans="1:5" x14ac:dyDescent="0.3">
      <c r="A39">
        <v>37</v>
      </c>
      <c r="E39" t="s">
        <v>56</v>
      </c>
    </row>
    <row r="40" spans="1:5" x14ac:dyDescent="0.3">
      <c r="A40">
        <v>38</v>
      </c>
      <c r="E40" t="s">
        <v>112</v>
      </c>
    </row>
    <row r="41" spans="1:5" x14ac:dyDescent="0.3">
      <c r="A41">
        <v>39</v>
      </c>
      <c r="E41" t="s">
        <v>57</v>
      </c>
    </row>
    <row r="42" spans="1:5" x14ac:dyDescent="0.3">
      <c r="A42">
        <v>40</v>
      </c>
      <c r="E42" t="s">
        <v>93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59</v>
      </c>
    </row>
    <row r="45" spans="1:5" x14ac:dyDescent="0.3">
      <c r="A45">
        <v>43</v>
      </c>
      <c r="E45" t="s">
        <v>60</v>
      </c>
    </row>
    <row r="46" spans="1:5" x14ac:dyDescent="0.3">
      <c r="A46">
        <v>44</v>
      </c>
      <c r="E46" t="s">
        <v>61</v>
      </c>
    </row>
    <row r="47" spans="1:5" x14ac:dyDescent="0.3">
      <c r="A47">
        <v>45</v>
      </c>
      <c r="E47" t="s">
        <v>63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68</v>
      </c>
    </row>
    <row r="52" spans="1:5" x14ac:dyDescent="0.3">
      <c r="A52">
        <v>50</v>
      </c>
      <c r="E52" t="s">
        <v>96</v>
      </c>
    </row>
    <row r="53" spans="1:5" x14ac:dyDescent="0.3">
      <c r="A53">
        <v>51</v>
      </c>
      <c r="E53" t="s">
        <v>113</v>
      </c>
    </row>
    <row r="54" spans="1:5" x14ac:dyDescent="0.3">
      <c r="A54">
        <v>52</v>
      </c>
      <c r="E54" t="s">
        <v>69</v>
      </c>
    </row>
    <row r="55" spans="1:5" x14ac:dyDescent="0.3">
      <c r="A55">
        <v>53</v>
      </c>
      <c r="E55" t="s">
        <v>70</v>
      </c>
    </row>
    <row r="56" spans="1:5" x14ac:dyDescent="0.3">
      <c r="A56">
        <v>54</v>
      </c>
      <c r="E56" t="s">
        <v>71</v>
      </c>
    </row>
    <row r="57" spans="1:5" x14ac:dyDescent="0.3">
      <c r="A57">
        <v>55</v>
      </c>
      <c r="E57" t="s">
        <v>72</v>
      </c>
    </row>
    <row r="58" spans="1:5" x14ac:dyDescent="0.3">
      <c r="A58">
        <v>56</v>
      </c>
      <c r="E58" t="s">
        <v>74</v>
      </c>
    </row>
    <row r="59" spans="1:5" x14ac:dyDescent="0.3">
      <c r="A59">
        <v>57</v>
      </c>
      <c r="E59" t="s">
        <v>75</v>
      </c>
    </row>
    <row r="60" spans="1:5" x14ac:dyDescent="0.3">
      <c r="A60">
        <v>58</v>
      </c>
      <c r="E60" t="s">
        <v>76</v>
      </c>
    </row>
    <row r="61" spans="1:5" x14ac:dyDescent="0.3">
      <c r="A61">
        <v>59</v>
      </c>
      <c r="E61" t="s">
        <v>17</v>
      </c>
    </row>
    <row r="62" spans="1:5" x14ac:dyDescent="0.3">
      <c r="A62">
        <v>60</v>
      </c>
      <c r="E62" t="s">
        <v>98</v>
      </c>
    </row>
    <row r="63" spans="1:5" x14ac:dyDescent="0.3">
      <c r="A63">
        <v>61</v>
      </c>
      <c r="E6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114</v>
      </c>
      <c r="C2" t="s">
        <v>20</v>
      </c>
      <c r="D2" t="s">
        <v>20</v>
      </c>
      <c r="E2" t="s">
        <v>21</v>
      </c>
      <c r="F2">
        <v>0.58333333333333337</v>
      </c>
    </row>
    <row r="3" spans="1:6" x14ac:dyDescent="0.3">
      <c r="A3">
        <v>1</v>
      </c>
      <c r="B3" t="s">
        <v>115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116</v>
      </c>
      <c r="C4" t="s">
        <v>17</v>
      </c>
      <c r="D4" t="s">
        <v>18</v>
      </c>
      <c r="E4" t="s">
        <v>107</v>
      </c>
    </row>
    <row r="5" spans="1:6" x14ac:dyDescent="0.3">
      <c r="A5">
        <v>3</v>
      </c>
      <c r="B5" t="s">
        <v>117</v>
      </c>
      <c r="C5" t="s">
        <v>19</v>
      </c>
      <c r="D5" t="s">
        <v>20</v>
      </c>
      <c r="E5" t="s">
        <v>85</v>
      </c>
    </row>
    <row r="6" spans="1:6" x14ac:dyDescent="0.3">
      <c r="A6">
        <v>4</v>
      </c>
      <c r="B6" t="s">
        <v>118</v>
      </c>
      <c r="C6" t="s">
        <v>17</v>
      </c>
      <c r="D6" t="s">
        <v>17</v>
      </c>
      <c r="E6" t="s">
        <v>86</v>
      </c>
    </row>
    <row r="7" spans="1:6" x14ac:dyDescent="0.3">
      <c r="A7">
        <v>5</v>
      </c>
      <c r="B7" t="s">
        <v>7</v>
      </c>
      <c r="C7" t="s">
        <v>18</v>
      </c>
      <c r="D7" t="s">
        <v>18</v>
      </c>
      <c r="E7" t="s">
        <v>23</v>
      </c>
    </row>
    <row r="8" spans="1:6" x14ac:dyDescent="0.3">
      <c r="A8">
        <v>6</v>
      </c>
      <c r="B8" t="s">
        <v>10</v>
      </c>
      <c r="C8" t="s">
        <v>20</v>
      </c>
      <c r="D8" t="s">
        <v>20</v>
      </c>
      <c r="E8" t="s">
        <v>24</v>
      </c>
    </row>
    <row r="9" spans="1:6" x14ac:dyDescent="0.3">
      <c r="A9">
        <v>7</v>
      </c>
      <c r="B9" t="s">
        <v>83</v>
      </c>
      <c r="C9" t="s">
        <v>18</v>
      </c>
      <c r="D9" t="s">
        <v>18</v>
      </c>
      <c r="E9" t="s">
        <v>87</v>
      </c>
    </row>
    <row r="10" spans="1:6" x14ac:dyDescent="0.3">
      <c r="A10">
        <v>8</v>
      </c>
      <c r="B10" t="s">
        <v>119</v>
      </c>
      <c r="C10" t="s">
        <v>17</v>
      </c>
      <c r="D10" t="s">
        <v>18</v>
      </c>
      <c r="E10" t="s">
        <v>25</v>
      </c>
    </row>
    <row r="11" spans="1:6" x14ac:dyDescent="0.3">
      <c r="A11">
        <v>9</v>
      </c>
      <c r="B11" t="s">
        <v>101</v>
      </c>
      <c r="C11" t="s">
        <v>19</v>
      </c>
      <c r="D11" t="s">
        <v>17</v>
      </c>
      <c r="E11" t="s">
        <v>88</v>
      </c>
    </row>
    <row r="12" spans="1:6" x14ac:dyDescent="0.3">
      <c r="A12">
        <v>10</v>
      </c>
      <c r="B12" t="s">
        <v>120</v>
      </c>
      <c r="C12" t="s">
        <v>20</v>
      </c>
      <c r="D12" t="s">
        <v>20</v>
      </c>
      <c r="E12" t="s">
        <v>108</v>
      </c>
    </row>
    <row r="13" spans="1:6" x14ac:dyDescent="0.3">
      <c r="A13">
        <v>11</v>
      </c>
      <c r="B13" t="s">
        <v>121</v>
      </c>
      <c r="C13" t="s">
        <v>19</v>
      </c>
      <c r="D13" t="s">
        <v>19</v>
      </c>
      <c r="E13" t="s">
        <v>26</v>
      </c>
    </row>
    <row r="14" spans="1:6" x14ac:dyDescent="0.3">
      <c r="A14">
        <v>12</v>
      </c>
      <c r="E14" t="s">
        <v>27</v>
      </c>
    </row>
    <row r="15" spans="1:6" x14ac:dyDescent="0.3">
      <c r="A15">
        <v>13</v>
      </c>
      <c r="E15" t="s">
        <v>29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32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110</v>
      </c>
    </row>
    <row r="21" spans="1:5" x14ac:dyDescent="0.3">
      <c r="A21">
        <v>19</v>
      </c>
      <c r="E21" t="s">
        <v>35</v>
      </c>
    </row>
    <row r="22" spans="1:5" x14ac:dyDescent="0.3">
      <c r="A22">
        <v>20</v>
      </c>
      <c r="E22" t="s">
        <v>36</v>
      </c>
    </row>
    <row r="23" spans="1:5" x14ac:dyDescent="0.3">
      <c r="A23">
        <v>21</v>
      </c>
      <c r="E23" t="s">
        <v>90</v>
      </c>
    </row>
    <row r="24" spans="1:5" x14ac:dyDescent="0.3">
      <c r="A24">
        <v>22</v>
      </c>
      <c r="E24" t="s">
        <v>37</v>
      </c>
    </row>
    <row r="25" spans="1:5" x14ac:dyDescent="0.3">
      <c r="A25">
        <v>23</v>
      </c>
      <c r="E25" t="s">
        <v>38</v>
      </c>
    </row>
    <row r="26" spans="1:5" x14ac:dyDescent="0.3">
      <c r="A26">
        <v>24</v>
      </c>
      <c r="E26" t="s">
        <v>91</v>
      </c>
    </row>
    <row r="27" spans="1:5" x14ac:dyDescent="0.3">
      <c r="A27">
        <v>25</v>
      </c>
      <c r="E27" t="s">
        <v>39</v>
      </c>
    </row>
    <row r="28" spans="1:5" x14ac:dyDescent="0.3">
      <c r="A28">
        <v>26</v>
      </c>
      <c r="E28" t="s">
        <v>40</v>
      </c>
    </row>
    <row r="29" spans="1:5" x14ac:dyDescent="0.3">
      <c r="A29">
        <v>27</v>
      </c>
      <c r="E29" t="s">
        <v>111</v>
      </c>
    </row>
    <row r="30" spans="1:5" x14ac:dyDescent="0.3">
      <c r="A30">
        <v>28</v>
      </c>
      <c r="E30" t="s">
        <v>42</v>
      </c>
    </row>
    <row r="31" spans="1:5" x14ac:dyDescent="0.3">
      <c r="A31">
        <v>29</v>
      </c>
      <c r="E31" t="s">
        <v>43</v>
      </c>
    </row>
    <row r="32" spans="1:5" x14ac:dyDescent="0.3">
      <c r="A32">
        <v>30</v>
      </c>
      <c r="E32" t="s">
        <v>44</v>
      </c>
    </row>
    <row r="33" spans="1:5" x14ac:dyDescent="0.3">
      <c r="A33">
        <v>31</v>
      </c>
      <c r="E33" t="s">
        <v>46</v>
      </c>
    </row>
    <row r="34" spans="1:5" x14ac:dyDescent="0.3">
      <c r="A34">
        <v>32</v>
      </c>
      <c r="E34" t="s">
        <v>92</v>
      </c>
    </row>
    <row r="35" spans="1:5" x14ac:dyDescent="0.3">
      <c r="A35">
        <v>33</v>
      </c>
      <c r="E35" t="s">
        <v>48</v>
      </c>
    </row>
    <row r="36" spans="1:5" x14ac:dyDescent="0.3">
      <c r="A36">
        <v>34</v>
      </c>
      <c r="E36" t="s">
        <v>50</v>
      </c>
    </row>
    <row r="37" spans="1:5" x14ac:dyDescent="0.3">
      <c r="A37">
        <v>35</v>
      </c>
      <c r="E37" t="s">
        <v>51</v>
      </c>
    </row>
    <row r="38" spans="1:5" x14ac:dyDescent="0.3">
      <c r="A38">
        <v>36</v>
      </c>
      <c r="E38" t="s">
        <v>52</v>
      </c>
    </row>
    <row r="39" spans="1:5" x14ac:dyDescent="0.3">
      <c r="A39">
        <v>37</v>
      </c>
      <c r="E39" t="s">
        <v>53</v>
      </c>
    </row>
    <row r="40" spans="1:5" x14ac:dyDescent="0.3">
      <c r="A40">
        <v>38</v>
      </c>
      <c r="E40" t="s">
        <v>54</v>
      </c>
    </row>
    <row r="41" spans="1:5" x14ac:dyDescent="0.3">
      <c r="A41">
        <v>39</v>
      </c>
      <c r="E41" t="s">
        <v>56</v>
      </c>
    </row>
    <row r="42" spans="1:5" x14ac:dyDescent="0.3">
      <c r="A42">
        <v>40</v>
      </c>
      <c r="E42" t="s">
        <v>57</v>
      </c>
    </row>
    <row r="43" spans="1:5" x14ac:dyDescent="0.3">
      <c r="A43">
        <v>41</v>
      </c>
      <c r="E43" t="s">
        <v>93</v>
      </c>
    </row>
    <row r="44" spans="1:5" x14ac:dyDescent="0.3">
      <c r="A44">
        <v>42</v>
      </c>
      <c r="E44" t="s">
        <v>58</v>
      </c>
    </row>
    <row r="45" spans="1:5" x14ac:dyDescent="0.3">
      <c r="A45">
        <v>43</v>
      </c>
      <c r="E45" t="s">
        <v>59</v>
      </c>
    </row>
    <row r="46" spans="1:5" x14ac:dyDescent="0.3">
      <c r="A46">
        <v>44</v>
      </c>
      <c r="E46" t="s">
        <v>61</v>
      </c>
    </row>
    <row r="47" spans="1:5" x14ac:dyDescent="0.3">
      <c r="A47">
        <v>45</v>
      </c>
      <c r="E47" t="s">
        <v>62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67</v>
      </c>
    </row>
    <row r="52" spans="1:5" x14ac:dyDescent="0.3">
      <c r="A52">
        <v>50</v>
      </c>
      <c r="E52" t="s">
        <v>68</v>
      </c>
    </row>
    <row r="53" spans="1:5" x14ac:dyDescent="0.3">
      <c r="A53">
        <v>51</v>
      </c>
      <c r="E53" t="s">
        <v>96</v>
      </c>
    </row>
    <row r="54" spans="1:5" x14ac:dyDescent="0.3">
      <c r="A54">
        <v>52</v>
      </c>
      <c r="E54" t="s">
        <v>113</v>
      </c>
    </row>
    <row r="55" spans="1:5" x14ac:dyDescent="0.3">
      <c r="A55">
        <v>53</v>
      </c>
      <c r="E55" t="s">
        <v>97</v>
      </c>
    </row>
    <row r="56" spans="1:5" x14ac:dyDescent="0.3">
      <c r="A56">
        <v>54</v>
      </c>
      <c r="E56" t="s">
        <v>69</v>
      </c>
    </row>
    <row r="57" spans="1:5" x14ac:dyDescent="0.3">
      <c r="A57">
        <v>55</v>
      </c>
      <c r="E57" t="s">
        <v>71</v>
      </c>
    </row>
    <row r="58" spans="1:5" x14ac:dyDescent="0.3">
      <c r="A58">
        <v>56</v>
      </c>
      <c r="E58" t="s">
        <v>72</v>
      </c>
    </row>
    <row r="59" spans="1:5" x14ac:dyDescent="0.3">
      <c r="A59">
        <v>57</v>
      </c>
      <c r="E59" t="s">
        <v>73</v>
      </c>
    </row>
    <row r="60" spans="1:5" x14ac:dyDescent="0.3">
      <c r="A60">
        <v>58</v>
      </c>
      <c r="E60" t="s">
        <v>74</v>
      </c>
    </row>
    <row r="61" spans="1:5" x14ac:dyDescent="0.3">
      <c r="A61">
        <v>59</v>
      </c>
      <c r="E61" t="s">
        <v>75</v>
      </c>
    </row>
    <row r="62" spans="1:5" x14ac:dyDescent="0.3">
      <c r="A62">
        <v>60</v>
      </c>
      <c r="E62" t="s">
        <v>17</v>
      </c>
    </row>
    <row r="63" spans="1:5" x14ac:dyDescent="0.3">
      <c r="A63">
        <v>61</v>
      </c>
      <c r="E63" t="s">
        <v>98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9</v>
      </c>
      <c r="C2" t="s">
        <v>18</v>
      </c>
      <c r="D2" t="s">
        <v>18</v>
      </c>
      <c r="E2" t="s">
        <v>21</v>
      </c>
      <c r="F2">
        <v>0.58333333333333337</v>
      </c>
    </row>
    <row r="3" spans="1:6" x14ac:dyDescent="0.3">
      <c r="A3">
        <v>1</v>
      </c>
      <c r="B3" t="s">
        <v>122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123</v>
      </c>
      <c r="C4" t="s">
        <v>20</v>
      </c>
      <c r="D4" t="s">
        <v>20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17</v>
      </c>
      <c r="E5" t="s">
        <v>86</v>
      </c>
    </row>
    <row r="6" spans="1:6" x14ac:dyDescent="0.3">
      <c r="A6">
        <v>4</v>
      </c>
      <c r="B6" t="s">
        <v>117</v>
      </c>
      <c r="C6" t="s">
        <v>19</v>
      </c>
      <c r="D6" t="s">
        <v>20</v>
      </c>
      <c r="E6" t="s">
        <v>23</v>
      </c>
    </row>
    <row r="7" spans="1:6" x14ac:dyDescent="0.3">
      <c r="A7">
        <v>5</v>
      </c>
      <c r="B7" t="s">
        <v>81</v>
      </c>
      <c r="C7" t="s">
        <v>19</v>
      </c>
      <c r="D7" t="s">
        <v>17</v>
      </c>
      <c r="E7" t="s">
        <v>24</v>
      </c>
    </row>
    <row r="8" spans="1:6" x14ac:dyDescent="0.3">
      <c r="A8">
        <v>6</v>
      </c>
      <c r="B8" t="s">
        <v>7</v>
      </c>
      <c r="C8" t="s">
        <v>18</v>
      </c>
      <c r="D8" t="s">
        <v>18</v>
      </c>
      <c r="E8" t="s">
        <v>25</v>
      </c>
    </row>
    <row r="9" spans="1:6" x14ac:dyDescent="0.3">
      <c r="A9">
        <v>7</v>
      </c>
      <c r="B9" t="s">
        <v>84</v>
      </c>
      <c r="C9" t="s">
        <v>17</v>
      </c>
      <c r="D9" t="s">
        <v>17</v>
      </c>
      <c r="E9" t="s">
        <v>26</v>
      </c>
    </row>
    <row r="10" spans="1:6" x14ac:dyDescent="0.3">
      <c r="A10">
        <v>8</v>
      </c>
      <c r="B10" t="s">
        <v>124</v>
      </c>
      <c r="C10" t="s">
        <v>17</v>
      </c>
      <c r="D10" t="s">
        <v>19</v>
      </c>
      <c r="E10" t="s">
        <v>28</v>
      </c>
    </row>
    <row r="11" spans="1:6" x14ac:dyDescent="0.3">
      <c r="A11">
        <v>9</v>
      </c>
      <c r="B11" t="s">
        <v>120</v>
      </c>
      <c r="C11" t="s">
        <v>20</v>
      </c>
      <c r="D11" t="s">
        <v>20</v>
      </c>
      <c r="E11" t="s">
        <v>109</v>
      </c>
    </row>
    <row r="12" spans="1:6" x14ac:dyDescent="0.3">
      <c r="A12">
        <v>10</v>
      </c>
      <c r="B12" t="s">
        <v>125</v>
      </c>
      <c r="C12" t="s">
        <v>19</v>
      </c>
      <c r="D12" t="s">
        <v>18</v>
      </c>
      <c r="E12" t="s">
        <v>29</v>
      </c>
    </row>
    <row r="13" spans="1:6" x14ac:dyDescent="0.3">
      <c r="A13">
        <v>11</v>
      </c>
      <c r="B13" t="s">
        <v>126</v>
      </c>
      <c r="C13" t="s">
        <v>20</v>
      </c>
      <c r="D13" t="s">
        <v>20</v>
      </c>
      <c r="E13" t="s">
        <v>30</v>
      </c>
    </row>
    <row r="14" spans="1:6" x14ac:dyDescent="0.3">
      <c r="A14">
        <v>12</v>
      </c>
      <c r="E14" t="s">
        <v>31</v>
      </c>
    </row>
    <row r="15" spans="1:6" x14ac:dyDescent="0.3">
      <c r="A15">
        <v>13</v>
      </c>
      <c r="E15" t="s">
        <v>32</v>
      </c>
    </row>
    <row r="16" spans="1:6" x14ac:dyDescent="0.3">
      <c r="A16">
        <v>14</v>
      </c>
      <c r="E16" t="s">
        <v>33</v>
      </c>
    </row>
    <row r="17" spans="1:5" x14ac:dyDescent="0.3">
      <c r="A17">
        <v>15</v>
      </c>
      <c r="E17" t="s">
        <v>34</v>
      </c>
    </row>
    <row r="18" spans="1:5" x14ac:dyDescent="0.3">
      <c r="A18">
        <v>16</v>
      </c>
      <c r="E18" t="s">
        <v>110</v>
      </c>
    </row>
    <row r="19" spans="1:5" x14ac:dyDescent="0.3">
      <c r="A19">
        <v>17</v>
      </c>
      <c r="E19" t="s">
        <v>35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38</v>
      </c>
    </row>
    <row r="22" spans="1:5" x14ac:dyDescent="0.3">
      <c r="A22">
        <v>20</v>
      </c>
      <c r="E22" t="s">
        <v>39</v>
      </c>
    </row>
    <row r="23" spans="1:5" x14ac:dyDescent="0.3">
      <c r="A23">
        <v>21</v>
      </c>
      <c r="E23" t="s">
        <v>111</v>
      </c>
    </row>
    <row r="24" spans="1:5" x14ac:dyDescent="0.3">
      <c r="A24">
        <v>22</v>
      </c>
      <c r="E24" t="s">
        <v>42</v>
      </c>
    </row>
    <row r="25" spans="1:5" x14ac:dyDescent="0.3">
      <c r="A25">
        <v>23</v>
      </c>
      <c r="E25" t="s">
        <v>43</v>
      </c>
    </row>
    <row r="26" spans="1:5" x14ac:dyDescent="0.3">
      <c r="A26">
        <v>24</v>
      </c>
      <c r="E26" t="s">
        <v>44</v>
      </c>
    </row>
    <row r="27" spans="1:5" x14ac:dyDescent="0.3">
      <c r="A27">
        <v>25</v>
      </c>
      <c r="E27" t="s">
        <v>45</v>
      </c>
    </row>
    <row r="28" spans="1:5" x14ac:dyDescent="0.3">
      <c r="A28">
        <v>26</v>
      </c>
      <c r="E28" t="s">
        <v>46</v>
      </c>
    </row>
    <row r="29" spans="1:5" x14ac:dyDescent="0.3">
      <c r="A29">
        <v>27</v>
      </c>
      <c r="E29" t="s">
        <v>48</v>
      </c>
    </row>
    <row r="30" spans="1:5" x14ac:dyDescent="0.3">
      <c r="A30">
        <v>28</v>
      </c>
      <c r="E30" t="s">
        <v>49</v>
      </c>
    </row>
    <row r="31" spans="1:5" x14ac:dyDescent="0.3">
      <c r="A31">
        <v>29</v>
      </c>
      <c r="E31" t="s">
        <v>50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56</v>
      </c>
    </row>
    <row r="35" spans="1:5" x14ac:dyDescent="0.3">
      <c r="A35">
        <v>33</v>
      </c>
      <c r="E35" t="s">
        <v>57</v>
      </c>
    </row>
    <row r="36" spans="1:5" x14ac:dyDescent="0.3">
      <c r="A36">
        <v>34</v>
      </c>
      <c r="E36" t="s">
        <v>93</v>
      </c>
    </row>
    <row r="37" spans="1:5" x14ac:dyDescent="0.3">
      <c r="A37">
        <v>35</v>
      </c>
      <c r="E37" t="s">
        <v>59</v>
      </c>
    </row>
    <row r="38" spans="1:5" x14ac:dyDescent="0.3">
      <c r="A38">
        <v>36</v>
      </c>
      <c r="E38" t="s">
        <v>61</v>
      </c>
    </row>
    <row r="39" spans="1:5" x14ac:dyDescent="0.3">
      <c r="A39">
        <v>37</v>
      </c>
      <c r="E39" t="s">
        <v>62</v>
      </c>
    </row>
    <row r="40" spans="1:5" x14ac:dyDescent="0.3">
      <c r="A40">
        <v>38</v>
      </c>
      <c r="E40" t="s">
        <v>63</v>
      </c>
    </row>
    <row r="41" spans="1:5" x14ac:dyDescent="0.3">
      <c r="A41">
        <v>39</v>
      </c>
      <c r="E41" t="s">
        <v>64</v>
      </c>
    </row>
    <row r="42" spans="1:5" x14ac:dyDescent="0.3">
      <c r="A42">
        <v>40</v>
      </c>
      <c r="E42" t="s">
        <v>65</v>
      </c>
    </row>
    <row r="43" spans="1:5" x14ac:dyDescent="0.3">
      <c r="A43">
        <v>41</v>
      </c>
      <c r="E43" t="s">
        <v>19</v>
      </c>
    </row>
    <row r="44" spans="1:5" x14ac:dyDescent="0.3">
      <c r="A44">
        <v>42</v>
      </c>
      <c r="E44" t="s">
        <v>66</v>
      </c>
    </row>
    <row r="45" spans="1:5" x14ac:dyDescent="0.3">
      <c r="A45">
        <v>43</v>
      </c>
      <c r="E45" t="s">
        <v>94</v>
      </c>
    </row>
    <row r="46" spans="1:5" x14ac:dyDescent="0.3">
      <c r="A46">
        <v>44</v>
      </c>
      <c r="E46" t="s">
        <v>67</v>
      </c>
    </row>
    <row r="47" spans="1:5" x14ac:dyDescent="0.3">
      <c r="A47">
        <v>45</v>
      </c>
      <c r="E47" t="s">
        <v>96</v>
      </c>
    </row>
    <row r="48" spans="1:5" x14ac:dyDescent="0.3">
      <c r="A48">
        <v>46</v>
      </c>
      <c r="E48" t="s">
        <v>127</v>
      </c>
    </row>
    <row r="49" spans="1:5" x14ac:dyDescent="0.3">
      <c r="A49">
        <v>47</v>
      </c>
      <c r="E49" t="s">
        <v>128</v>
      </c>
    </row>
    <row r="50" spans="1:5" x14ac:dyDescent="0.3">
      <c r="A50">
        <v>48</v>
      </c>
      <c r="E50" t="s">
        <v>97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98</v>
      </c>
    </row>
    <row r="61" spans="1:5" x14ac:dyDescent="0.3">
      <c r="A61">
        <v>59</v>
      </c>
      <c r="E61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129</v>
      </c>
      <c r="C2" t="s">
        <v>18</v>
      </c>
      <c r="D2" t="s">
        <v>18</v>
      </c>
      <c r="E2" t="s">
        <v>21</v>
      </c>
      <c r="F2">
        <v>0.58333333333333337</v>
      </c>
    </row>
    <row r="3" spans="1:6" x14ac:dyDescent="0.3">
      <c r="A3">
        <v>1</v>
      </c>
      <c r="B3" t="s">
        <v>13</v>
      </c>
      <c r="C3" t="s">
        <v>20</v>
      </c>
      <c r="D3" t="s">
        <v>20</v>
      </c>
      <c r="E3" t="s">
        <v>22</v>
      </c>
    </row>
    <row r="4" spans="1:6" x14ac:dyDescent="0.3">
      <c r="A4">
        <v>2</v>
      </c>
      <c r="B4" t="s">
        <v>16</v>
      </c>
      <c r="C4" t="s">
        <v>19</v>
      </c>
      <c r="D4" t="s">
        <v>18</v>
      </c>
      <c r="E4" t="s">
        <v>85</v>
      </c>
    </row>
    <row r="5" spans="1:6" x14ac:dyDescent="0.3">
      <c r="A5">
        <v>3</v>
      </c>
      <c r="B5" t="s">
        <v>79</v>
      </c>
      <c r="C5" t="s">
        <v>20</v>
      </c>
      <c r="D5" t="s">
        <v>17</v>
      </c>
      <c r="E5" t="s">
        <v>86</v>
      </c>
    </row>
    <row r="6" spans="1:6" x14ac:dyDescent="0.3">
      <c r="A6">
        <v>4</v>
      </c>
      <c r="B6" t="s">
        <v>116</v>
      </c>
      <c r="C6" t="s">
        <v>17</v>
      </c>
      <c r="D6" t="s">
        <v>17</v>
      </c>
      <c r="E6" t="s">
        <v>23</v>
      </c>
    </row>
    <row r="7" spans="1:6" x14ac:dyDescent="0.3">
      <c r="A7">
        <v>5</v>
      </c>
      <c r="B7" t="s">
        <v>83</v>
      </c>
      <c r="C7" t="s">
        <v>18</v>
      </c>
      <c r="D7" t="s">
        <v>17</v>
      </c>
      <c r="E7" t="s">
        <v>24</v>
      </c>
    </row>
    <row r="8" spans="1:6" x14ac:dyDescent="0.3">
      <c r="A8">
        <v>6</v>
      </c>
      <c r="B8" t="s">
        <v>118</v>
      </c>
      <c r="C8" t="s">
        <v>17</v>
      </c>
      <c r="D8" t="s">
        <v>17</v>
      </c>
      <c r="E8" t="s">
        <v>87</v>
      </c>
    </row>
    <row r="9" spans="1:6" x14ac:dyDescent="0.3">
      <c r="A9">
        <v>7</v>
      </c>
      <c r="B9" t="s">
        <v>130</v>
      </c>
      <c r="C9" t="s">
        <v>18</v>
      </c>
      <c r="D9" t="s">
        <v>18</v>
      </c>
      <c r="E9" t="s">
        <v>25</v>
      </c>
    </row>
    <row r="10" spans="1:6" x14ac:dyDescent="0.3">
      <c r="A10">
        <v>8</v>
      </c>
      <c r="B10" t="s">
        <v>103</v>
      </c>
      <c r="C10" t="s">
        <v>19</v>
      </c>
      <c r="D10" t="s">
        <v>19</v>
      </c>
      <c r="E10" t="s">
        <v>88</v>
      </c>
    </row>
    <row r="11" spans="1:6" x14ac:dyDescent="0.3">
      <c r="A11">
        <v>9</v>
      </c>
      <c r="B11" t="s">
        <v>131</v>
      </c>
      <c r="C11" t="s">
        <v>20</v>
      </c>
      <c r="D11" t="s">
        <v>20</v>
      </c>
      <c r="E11" t="s">
        <v>26</v>
      </c>
    </row>
    <row r="12" spans="1:6" x14ac:dyDescent="0.3">
      <c r="A12">
        <v>10</v>
      </c>
      <c r="B12" t="s">
        <v>14</v>
      </c>
      <c r="C12" t="s">
        <v>17</v>
      </c>
      <c r="D12" t="s">
        <v>18</v>
      </c>
      <c r="E12" t="s">
        <v>28</v>
      </c>
    </row>
    <row r="13" spans="1:6" x14ac:dyDescent="0.3">
      <c r="A13">
        <v>11</v>
      </c>
      <c r="B13" t="s">
        <v>8</v>
      </c>
      <c r="C13" t="s">
        <v>19</v>
      </c>
      <c r="D13" t="s">
        <v>18</v>
      </c>
      <c r="E13" t="s">
        <v>33</v>
      </c>
    </row>
    <row r="14" spans="1:6" x14ac:dyDescent="0.3">
      <c r="A14">
        <v>12</v>
      </c>
      <c r="E14" t="s">
        <v>110</v>
      </c>
    </row>
    <row r="15" spans="1:6" x14ac:dyDescent="0.3">
      <c r="A15">
        <v>13</v>
      </c>
      <c r="E15" t="s">
        <v>35</v>
      </c>
    </row>
    <row r="16" spans="1:6" x14ac:dyDescent="0.3">
      <c r="A16">
        <v>14</v>
      </c>
      <c r="E16" t="s">
        <v>36</v>
      </c>
    </row>
    <row r="17" spans="1:5" x14ac:dyDescent="0.3">
      <c r="A17">
        <v>15</v>
      </c>
      <c r="E17" t="s">
        <v>90</v>
      </c>
    </row>
    <row r="18" spans="1:5" x14ac:dyDescent="0.3">
      <c r="A18">
        <v>16</v>
      </c>
      <c r="E18" t="s">
        <v>37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91</v>
      </c>
    </row>
    <row r="21" spans="1:5" x14ac:dyDescent="0.3">
      <c r="A21">
        <v>19</v>
      </c>
      <c r="E21" t="s">
        <v>39</v>
      </c>
    </row>
    <row r="22" spans="1:5" x14ac:dyDescent="0.3">
      <c r="A22">
        <v>20</v>
      </c>
      <c r="E22" t="s">
        <v>40</v>
      </c>
    </row>
    <row r="23" spans="1:5" x14ac:dyDescent="0.3">
      <c r="A23">
        <v>21</v>
      </c>
      <c r="E23" t="s">
        <v>41</v>
      </c>
    </row>
    <row r="24" spans="1:5" x14ac:dyDescent="0.3">
      <c r="A24">
        <v>22</v>
      </c>
      <c r="E24" t="s">
        <v>111</v>
      </c>
    </row>
    <row r="25" spans="1:5" x14ac:dyDescent="0.3">
      <c r="A25">
        <v>23</v>
      </c>
      <c r="E25" t="s">
        <v>43</v>
      </c>
    </row>
    <row r="26" spans="1:5" x14ac:dyDescent="0.3">
      <c r="A26">
        <v>24</v>
      </c>
      <c r="E26" t="s">
        <v>44</v>
      </c>
    </row>
    <row r="27" spans="1:5" x14ac:dyDescent="0.3">
      <c r="A27">
        <v>25</v>
      </c>
      <c r="E27" t="s">
        <v>45</v>
      </c>
    </row>
    <row r="28" spans="1:5" x14ac:dyDescent="0.3">
      <c r="A28">
        <v>26</v>
      </c>
      <c r="E28" t="s">
        <v>46</v>
      </c>
    </row>
    <row r="29" spans="1:5" x14ac:dyDescent="0.3">
      <c r="A29">
        <v>27</v>
      </c>
      <c r="E29" t="s">
        <v>92</v>
      </c>
    </row>
    <row r="30" spans="1:5" x14ac:dyDescent="0.3">
      <c r="A30">
        <v>28</v>
      </c>
      <c r="E30" t="s">
        <v>48</v>
      </c>
    </row>
    <row r="31" spans="1:5" x14ac:dyDescent="0.3">
      <c r="A31">
        <v>29</v>
      </c>
      <c r="E31" t="s">
        <v>49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53</v>
      </c>
    </row>
    <row r="35" spans="1:5" x14ac:dyDescent="0.3">
      <c r="A35">
        <v>33</v>
      </c>
      <c r="E35" t="s">
        <v>54</v>
      </c>
    </row>
    <row r="36" spans="1:5" x14ac:dyDescent="0.3">
      <c r="A36">
        <v>34</v>
      </c>
      <c r="E36" t="s">
        <v>55</v>
      </c>
    </row>
    <row r="37" spans="1:5" x14ac:dyDescent="0.3">
      <c r="A37">
        <v>35</v>
      </c>
      <c r="E37" t="s">
        <v>56</v>
      </c>
    </row>
    <row r="38" spans="1:5" x14ac:dyDescent="0.3">
      <c r="A38">
        <v>36</v>
      </c>
      <c r="E38" t="s">
        <v>57</v>
      </c>
    </row>
    <row r="39" spans="1:5" x14ac:dyDescent="0.3">
      <c r="A39">
        <v>37</v>
      </c>
      <c r="E39" t="s">
        <v>93</v>
      </c>
    </row>
    <row r="40" spans="1:5" x14ac:dyDescent="0.3">
      <c r="A40">
        <v>38</v>
      </c>
      <c r="E40" t="s">
        <v>58</v>
      </c>
    </row>
    <row r="41" spans="1:5" x14ac:dyDescent="0.3">
      <c r="A41">
        <v>39</v>
      </c>
      <c r="E41" t="s">
        <v>59</v>
      </c>
    </row>
    <row r="42" spans="1:5" x14ac:dyDescent="0.3">
      <c r="A42">
        <v>40</v>
      </c>
      <c r="E42" t="s">
        <v>60</v>
      </c>
    </row>
    <row r="43" spans="1:5" x14ac:dyDescent="0.3">
      <c r="A43">
        <v>41</v>
      </c>
      <c r="E43" t="s">
        <v>62</v>
      </c>
    </row>
    <row r="44" spans="1:5" x14ac:dyDescent="0.3">
      <c r="A44">
        <v>42</v>
      </c>
      <c r="E44" t="s">
        <v>63</v>
      </c>
    </row>
    <row r="45" spans="1:5" x14ac:dyDescent="0.3">
      <c r="A45">
        <v>43</v>
      </c>
      <c r="E45" t="s">
        <v>64</v>
      </c>
    </row>
    <row r="46" spans="1:5" x14ac:dyDescent="0.3">
      <c r="A46">
        <v>44</v>
      </c>
      <c r="E46" t="s">
        <v>65</v>
      </c>
    </row>
    <row r="47" spans="1:5" x14ac:dyDescent="0.3">
      <c r="A47">
        <v>45</v>
      </c>
      <c r="E47" t="s">
        <v>19</v>
      </c>
    </row>
    <row r="48" spans="1:5" x14ac:dyDescent="0.3">
      <c r="A48">
        <v>46</v>
      </c>
      <c r="E48" t="s">
        <v>66</v>
      </c>
    </row>
    <row r="49" spans="1:5" x14ac:dyDescent="0.3">
      <c r="A49">
        <v>47</v>
      </c>
      <c r="E49" t="s">
        <v>67</v>
      </c>
    </row>
    <row r="50" spans="1:5" x14ac:dyDescent="0.3">
      <c r="A50">
        <v>48</v>
      </c>
      <c r="E50" t="s">
        <v>68</v>
      </c>
    </row>
    <row r="51" spans="1:5" x14ac:dyDescent="0.3">
      <c r="A51">
        <v>49</v>
      </c>
      <c r="E51" t="s">
        <v>96</v>
      </c>
    </row>
    <row r="52" spans="1:5" x14ac:dyDescent="0.3">
      <c r="A52">
        <v>50</v>
      </c>
      <c r="E52" t="s">
        <v>127</v>
      </c>
    </row>
    <row r="53" spans="1:5" x14ac:dyDescent="0.3">
      <c r="A53">
        <v>51</v>
      </c>
      <c r="E53" t="s">
        <v>128</v>
      </c>
    </row>
    <row r="54" spans="1:5" x14ac:dyDescent="0.3">
      <c r="A54">
        <v>52</v>
      </c>
      <c r="E54" t="s">
        <v>69</v>
      </c>
    </row>
    <row r="55" spans="1:5" x14ac:dyDescent="0.3">
      <c r="A55">
        <v>53</v>
      </c>
      <c r="E55" t="s">
        <v>70</v>
      </c>
    </row>
    <row r="56" spans="1:5" x14ac:dyDescent="0.3">
      <c r="A56">
        <v>54</v>
      </c>
      <c r="E56" t="s">
        <v>71</v>
      </c>
    </row>
    <row r="57" spans="1:5" x14ac:dyDescent="0.3">
      <c r="A57">
        <v>55</v>
      </c>
      <c r="E57" t="s">
        <v>72</v>
      </c>
    </row>
    <row r="58" spans="1:5" x14ac:dyDescent="0.3">
      <c r="A58">
        <v>56</v>
      </c>
      <c r="E58" t="s">
        <v>73</v>
      </c>
    </row>
    <row r="59" spans="1:5" x14ac:dyDescent="0.3">
      <c r="A59">
        <v>57</v>
      </c>
      <c r="E59" t="s">
        <v>74</v>
      </c>
    </row>
    <row r="60" spans="1:5" x14ac:dyDescent="0.3">
      <c r="A60">
        <v>58</v>
      </c>
      <c r="E60" t="s">
        <v>75</v>
      </c>
    </row>
    <row r="61" spans="1:5" x14ac:dyDescent="0.3">
      <c r="A61">
        <v>59</v>
      </c>
      <c r="E61" t="s">
        <v>76</v>
      </c>
    </row>
    <row r="62" spans="1:5" x14ac:dyDescent="0.3">
      <c r="A62">
        <v>60</v>
      </c>
      <c r="E62" t="s">
        <v>17</v>
      </c>
    </row>
    <row r="63" spans="1:5" x14ac:dyDescent="0.3">
      <c r="A63">
        <v>61</v>
      </c>
      <c r="E63" t="s">
        <v>98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80</v>
      </c>
      <c r="C2" t="s">
        <v>20</v>
      </c>
      <c r="D2" t="s">
        <v>17</v>
      </c>
      <c r="E2" t="s">
        <v>21</v>
      </c>
      <c r="F2">
        <v>0.66666666666666663</v>
      </c>
    </row>
    <row r="3" spans="1:6" x14ac:dyDescent="0.3">
      <c r="A3">
        <v>1</v>
      </c>
      <c r="B3" t="s">
        <v>116</v>
      </c>
      <c r="C3" t="s">
        <v>17</v>
      </c>
      <c r="D3" t="s">
        <v>17</v>
      </c>
      <c r="E3" t="s">
        <v>22</v>
      </c>
    </row>
    <row r="4" spans="1:6" x14ac:dyDescent="0.3">
      <c r="A4">
        <v>2</v>
      </c>
      <c r="B4" t="s">
        <v>8</v>
      </c>
      <c r="C4" t="s">
        <v>19</v>
      </c>
      <c r="D4" t="s">
        <v>19</v>
      </c>
      <c r="E4" t="s">
        <v>107</v>
      </c>
    </row>
    <row r="5" spans="1:6" x14ac:dyDescent="0.3">
      <c r="A5">
        <v>3</v>
      </c>
      <c r="B5" t="s">
        <v>102</v>
      </c>
      <c r="C5" t="s">
        <v>20</v>
      </c>
      <c r="D5" t="s">
        <v>20</v>
      </c>
      <c r="E5" t="s">
        <v>23</v>
      </c>
    </row>
    <row r="6" spans="1:6" x14ac:dyDescent="0.3">
      <c r="A6">
        <v>4</v>
      </c>
      <c r="B6" t="s">
        <v>132</v>
      </c>
      <c r="C6" t="s">
        <v>20</v>
      </c>
      <c r="D6" t="s">
        <v>20</v>
      </c>
      <c r="E6" t="s">
        <v>25</v>
      </c>
    </row>
    <row r="7" spans="1:6" x14ac:dyDescent="0.3">
      <c r="A7">
        <v>5</v>
      </c>
      <c r="B7" t="s">
        <v>130</v>
      </c>
      <c r="C7" t="s">
        <v>18</v>
      </c>
      <c r="D7" t="s">
        <v>18</v>
      </c>
      <c r="E7" t="s">
        <v>88</v>
      </c>
    </row>
    <row r="8" spans="1:6" x14ac:dyDescent="0.3">
      <c r="A8">
        <v>6</v>
      </c>
      <c r="B8" t="s">
        <v>5</v>
      </c>
      <c r="C8" t="s">
        <v>17</v>
      </c>
      <c r="D8" t="s">
        <v>17</v>
      </c>
      <c r="E8" t="s">
        <v>108</v>
      </c>
    </row>
    <row r="9" spans="1:6" x14ac:dyDescent="0.3">
      <c r="A9">
        <v>7</v>
      </c>
      <c r="B9" t="s">
        <v>82</v>
      </c>
      <c r="C9" t="s">
        <v>18</v>
      </c>
      <c r="D9" t="s">
        <v>19</v>
      </c>
      <c r="E9" t="s">
        <v>26</v>
      </c>
    </row>
    <row r="10" spans="1:6" x14ac:dyDescent="0.3">
      <c r="A10">
        <v>8</v>
      </c>
      <c r="B10" t="s">
        <v>121</v>
      </c>
      <c r="C10" t="s">
        <v>19</v>
      </c>
      <c r="D10" t="s">
        <v>19</v>
      </c>
      <c r="E10" t="s">
        <v>27</v>
      </c>
    </row>
    <row r="11" spans="1:6" x14ac:dyDescent="0.3">
      <c r="A11">
        <v>9</v>
      </c>
      <c r="B11" t="s">
        <v>9</v>
      </c>
      <c r="C11" t="s">
        <v>18</v>
      </c>
      <c r="D11" t="s">
        <v>18</v>
      </c>
      <c r="E11" t="s">
        <v>28</v>
      </c>
    </row>
    <row r="12" spans="1:6" x14ac:dyDescent="0.3">
      <c r="A12">
        <v>10</v>
      </c>
      <c r="B12" t="s">
        <v>133</v>
      </c>
      <c r="C12" t="s">
        <v>17</v>
      </c>
      <c r="D12" t="s">
        <v>18</v>
      </c>
      <c r="E12" t="s">
        <v>29</v>
      </c>
    </row>
    <row r="13" spans="1:6" x14ac:dyDescent="0.3">
      <c r="A13">
        <v>11</v>
      </c>
      <c r="B13" t="s">
        <v>117</v>
      </c>
      <c r="C13" t="s">
        <v>19</v>
      </c>
      <c r="D13" t="s">
        <v>20</v>
      </c>
      <c r="E13" t="s">
        <v>89</v>
      </c>
    </row>
    <row r="14" spans="1:6" x14ac:dyDescent="0.3">
      <c r="A14">
        <v>12</v>
      </c>
      <c r="E14" t="s">
        <v>30</v>
      </c>
    </row>
    <row r="15" spans="1:6" x14ac:dyDescent="0.3">
      <c r="A15">
        <v>13</v>
      </c>
      <c r="E15" t="s">
        <v>31</v>
      </c>
    </row>
    <row r="16" spans="1:6" x14ac:dyDescent="0.3">
      <c r="A16">
        <v>14</v>
      </c>
      <c r="E16" t="s">
        <v>32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34</v>
      </c>
    </row>
    <row r="19" spans="1:5" x14ac:dyDescent="0.3">
      <c r="A19">
        <v>17</v>
      </c>
      <c r="E19" t="s">
        <v>110</v>
      </c>
    </row>
    <row r="20" spans="1:5" x14ac:dyDescent="0.3">
      <c r="A20">
        <v>18</v>
      </c>
      <c r="E20" t="s">
        <v>36</v>
      </c>
    </row>
    <row r="21" spans="1:5" x14ac:dyDescent="0.3">
      <c r="A21">
        <v>19</v>
      </c>
      <c r="E21" t="s">
        <v>90</v>
      </c>
    </row>
    <row r="22" spans="1:5" x14ac:dyDescent="0.3">
      <c r="A22">
        <v>20</v>
      </c>
      <c r="E22" t="s">
        <v>37</v>
      </c>
    </row>
    <row r="23" spans="1:5" x14ac:dyDescent="0.3">
      <c r="A23">
        <v>21</v>
      </c>
      <c r="E23" t="s">
        <v>38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111</v>
      </c>
    </row>
    <row r="28" spans="1:5" x14ac:dyDescent="0.3">
      <c r="A28">
        <v>26</v>
      </c>
      <c r="E28" t="s">
        <v>42</v>
      </c>
    </row>
    <row r="29" spans="1:5" x14ac:dyDescent="0.3">
      <c r="A29">
        <v>27</v>
      </c>
      <c r="E29" t="s">
        <v>43</v>
      </c>
    </row>
    <row r="30" spans="1:5" x14ac:dyDescent="0.3">
      <c r="A30">
        <v>28</v>
      </c>
      <c r="E30" t="s">
        <v>44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47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50</v>
      </c>
    </row>
    <row r="36" spans="1:5" x14ac:dyDescent="0.3">
      <c r="A36">
        <v>34</v>
      </c>
      <c r="E36" t="s">
        <v>51</v>
      </c>
    </row>
    <row r="37" spans="1:5" x14ac:dyDescent="0.3">
      <c r="A37">
        <v>35</v>
      </c>
      <c r="E37" t="s">
        <v>52</v>
      </c>
    </row>
    <row r="38" spans="1:5" x14ac:dyDescent="0.3">
      <c r="A38">
        <v>36</v>
      </c>
      <c r="E38" t="s">
        <v>53</v>
      </c>
    </row>
    <row r="39" spans="1:5" x14ac:dyDescent="0.3">
      <c r="A39">
        <v>37</v>
      </c>
      <c r="E39" t="s">
        <v>54</v>
      </c>
    </row>
    <row r="40" spans="1:5" x14ac:dyDescent="0.3">
      <c r="A40">
        <v>38</v>
      </c>
      <c r="E40" t="s">
        <v>55</v>
      </c>
    </row>
    <row r="41" spans="1:5" x14ac:dyDescent="0.3">
      <c r="A41">
        <v>39</v>
      </c>
      <c r="E41" t="s">
        <v>56</v>
      </c>
    </row>
    <row r="42" spans="1:5" x14ac:dyDescent="0.3">
      <c r="A42">
        <v>40</v>
      </c>
      <c r="E42" t="s">
        <v>57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59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63</v>
      </c>
    </row>
    <row r="47" spans="1:5" x14ac:dyDescent="0.3">
      <c r="A47">
        <v>45</v>
      </c>
      <c r="E47" t="s">
        <v>64</v>
      </c>
    </row>
    <row r="48" spans="1:5" x14ac:dyDescent="0.3">
      <c r="A48">
        <v>46</v>
      </c>
      <c r="E48" t="s">
        <v>65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95</v>
      </c>
    </row>
    <row r="52" spans="1:5" x14ac:dyDescent="0.3">
      <c r="A52">
        <v>50</v>
      </c>
      <c r="E52" t="s">
        <v>67</v>
      </c>
    </row>
    <row r="53" spans="1:5" x14ac:dyDescent="0.3">
      <c r="A53">
        <v>51</v>
      </c>
      <c r="E53" t="s">
        <v>68</v>
      </c>
    </row>
    <row r="54" spans="1:5" x14ac:dyDescent="0.3">
      <c r="A54">
        <v>52</v>
      </c>
      <c r="E54" t="s">
        <v>127</v>
      </c>
    </row>
    <row r="55" spans="1:5" x14ac:dyDescent="0.3">
      <c r="A55">
        <v>53</v>
      </c>
      <c r="E55" t="s">
        <v>128</v>
      </c>
    </row>
    <row r="56" spans="1:5" x14ac:dyDescent="0.3">
      <c r="A56">
        <v>54</v>
      </c>
      <c r="E56" t="s">
        <v>113</v>
      </c>
    </row>
    <row r="57" spans="1:5" x14ac:dyDescent="0.3">
      <c r="A57">
        <v>55</v>
      </c>
      <c r="E57" t="s">
        <v>69</v>
      </c>
    </row>
    <row r="58" spans="1:5" x14ac:dyDescent="0.3">
      <c r="A58">
        <v>56</v>
      </c>
      <c r="E58" t="s">
        <v>70</v>
      </c>
    </row>
    <row r="59" spans="1:5" x14ac:dyDescent="0.3">
      <c r="A59">
        <v>57</v>
      </c>
      <c r="E59" t="s">
        <v>71</v>
      </c>
    </row>
    <row r="60" spans="1:5" x14ac:dyDescent="0.3">
      <c r="A60">
        <v>58</v>
      </c>
      <c r="E60" t="s">
        <v>73</v>
      </c>
    </row>
    <row r="61" spans="1:5" x14ac:dyDescent="0.3">
      <c r="A61">
        <v>59</v>
      </c>
      <c r="E61" t="s">
        <v>74</v>
      </c>
    </row>
    <row r="62" spans="1:5" x14ac:dyDescent="0.3">
      <c r="A62">
        <v>60</v>
      </c>
      <c r="E62" t="s">
        <v>75</v>
      </c>
    </row>
    <row r="63" spans="1:5" x14ac:dyDescent="0.3">
      <c r="A63">
        <v>61</v>
      </c>
      <c r="E63" t="s">
        <v>76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0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134</v>
      </c>
      <c r="C2" t="s">
        <v>19</v>
      </c>
      <c r="D2" t="s">
        <v>20</v>
      </c>
      <c r="E2" t="s">
        <v>21</v>
      </c>
      <c r="F2">
        <v>0.66666666666666663</v>
      </c>
    </row>
    <row r="3" spans="1:6" x14ac:dyDescent="0.3">
      <c r="A3">
        <v>1</v>
      </c>
      <c r="B3" t="s">
        <v>16</v>
      </c>
      <c r="C3" t="s">
        <v>19</v>
      </c>
      <c r="D3" t="s">
        <v>18</v>
      </c>
      <c r="E3" t="s">
        <v>22</v>
      </c>
    </row>
    <row r="4" spans="1:6" x14ac:dyDescent="0.3">
      <c r="A4">
        <v>2</v>
      </c>
      <c r="B4" t="s">
        <v>121</v>
      </c>
      <c r="C4" t="s">
        <v>19</v>
      </c>
      <c r="D4" t="s">
        <v>18</v>
      </c>
      <c r="E4" t="s">
        <v>23</v>
      </c>
    </row>
    <row r="5" spans="1:6" x14ac:dyDescent="0.3">
      <c r="A5">
        <v>3</v>
      </c>
      <c r="B5" t="s">
        <v>120</v>
      </c>
      <c r="C5" t="s">
        <v>20</v>
      </c>
      <c r="D5" t="s">
        <v>20</v>
      </c>
      <c r="E5" t="s">
        <v>24</v>
      </c>
    </row>
    <row r="6" spans="1:6" x14ac:dyDescent="0.3">
      <c r="A6">
        <v>4</v>
      </c>
      <c r="B6" t="s">
        <v>7</v>
      </c>
      <c r="C6" t="s">
        <v>18</v>
      </c>
      <c r="D6" t="s">
        <v>18</v>
      </c>
      <c r="E6" t="s">
        <v>25</v>
      </c>
    </row>
    <row r="7" spans="1:6" x14ac:dyDescent="0.3">
      <c r="A7">
        <v>5</v>
      </c>
      <c r="B7" t="s">
        <v>126</v>
      </c>
      <c r="C7" t="s">
        <v>20</v>
      </c>
      <c r="D7" t="s">
        <v>20</v>
      </c>
      <c r="E7" t="s">
        <v>88</v>
      </c>
    </row>
    <row r="8" spans="1:6" x14ac:dyDescent="0.3">
      <c r="A8">
        <v>6</v>
      </c>
      <c r="B8" t="s">
        <v>135</v>
      </c>
      <c r="C8" t="s">
        <v>18</v>
      </c>
      <c r="D8" t="s">
        <v>18</v>
      </c>
      <c r="E8" t="s">
        <v>108</v>
      </c>
    </row>
    <row r="9" spans="1:6" x14ac:dyDescent="0.3">
      <c r="A9">
        <v>7</v>
      </c>
      <c r="B9" t="s">
        <v>99</v>
      </c>
      <c r="C9" t="s">
        <v>20</v>
      </c>
      <c r="D9" t="s">
        <v>20</v>
      </c>
      <c r="E9" t="s">
        <v>26</v>
      </c>
    </row>
    <row r="10" spans="1:6" x14ac:dyDescent="0.3">
      <c r="A10">
        <v>8</v>
      </c>
      <c r="B10" t="s">
        <v>5</v>
      </c>
      <c r="C10" t="s">
        <v>17</v>
      </c>
      <c r="D10" t="s">
        <v>17</v>
      </c>
      <c r="E10" t="s">
        <v>27</v>
      </c>
    </row>
    <row r="11" spans="1:6" x14ac:dyDescent="0.3">
      <c r="A11">
        <v>9</v>
      </c>
      <c r="B11" t="s">
        <v>136</v>
      </c>
      <c r="C11" t="s">
        <v>17</v>
      </c>
      <c r="D11" t="s">
        <v>17</v>
      </c>
      <c r="E11" t="s">
        <v>28</v>
      </c>
    </row>
    <row r="12" spans="1:6" x14ac:dyDescent="0.3">
      <c r="A12">
        <v>10</v>
      </c>
      <c r="B12" t="s">
        <v>137</v>
      </c>
      <c r="C12" t="s">
        <v>18</v>
      </c>
      <c r="D12" t="s">
        <v>19</v>
      </c>
      <c r="E12" t="s">
        <v>109</v>
      </c>
    </row>
    <row r="13" spans="1:6" x14ac:dyDescent="0.3">
      <c r="A13">
        <v>11</v>
      </c>
      <c r="B13" t="s">
        <v>77</v>
      </c>
      <c r="C13" t="s">
        <v>17</v>
      </c>
      <c r="D13" t="s">
        <v>17</v>
      </c>
      <c r="E13" t="s">
        <v>30</v>
      </c>
    </row>
    <row r="14" spans="1:6" x14ac:dyDescent="0.3">
      <c r="A14">
        <v>12</v>
      </c>
      <c r="E14" t="s">
        <v>31</v>
      </c>
    </row>
    <row r="15" spans="1:6" x14ac:dyDescent="0.3">
      <c r="A15">
        <v>13</v>
      </c>
      <c r="E15" t="s">
        <v>32</v>
      </c>
    </row>
    <row r="16" spans="1:6" x14ac:dyDescent="0.3">
      <c r="A16">
        <v>14</v>
      </c>
      <c r="E16" t="s">
        <v>33</v>
      </c>
    </row>
    <row r="17" spans="1:5" x14ac:dyDescent="0.3">
      <c r="A17">
        <v>15</v>
      </c>
      <c r="E17" t="s">
        <v>36</v>
      </c>
    </row>
    <row r="18" spans="1:5" x14ac:dyDescent="0.3">
      <c r="A18">
        <v>16</v>
      </c>
      <c r="E18" t="s">
        <v>90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39</v>
      </c>
    </row>
    <row r="21" spans="1:5" x14ac:dyDescent="0.3">
      <c r="A21">
        <v>19</v>
      </c>
      <c r="E21" t="s">
        <v>40</v>
      </c>
    </row>
    <row r="22" spans="1:5" x14ac:dyDescent="0.3">
      <c r="A22">
        <v>20</v>
      </c>
      <c r="E22" t="s">
        <v>42</v>
      </c>
    </row>
    <row r="23" spans="1:5" x14ac:dyDescent="0.3">
      <c r="A23">
        <v>21</v>
      </c>
      <c r="E23" t="s">
        <v>43</v>
      </c>
    </row>
    <row r="24" spans="1:5" x14ac:dyDescent="0.3">
      <c r="A24">
        <v>22</v>
      </c>
      <c r="E24" t="s">
        <v>45</v>
      </c>
    </row>
    <row r="25" spans="1:5" x14ac:dyDescent="0.3">
      <c r="A25">
        <v>23</v>
      </c>
      <c r="E25" t="s">
        <v>46</v>
      </c>
    </row>
    <row r="26" spans="1:5" x14ac:dyDescent="0.3">
      <c r="A26">
        <v>24</v>
      </c>
      <c r="E26" t="s">
        <v>47</v>
      </c>
    </row>
    <row r="27" spans="1:5" x14ac:dyDescent="0.3">
      <c r="A27">
        <v>25</v>
      </c>
      <c r="E27" t="s">
        <v>48</v>
      </c>
    </row>
    <row r="28" spans="1:5" x14ac:dyDescent="0.3">
      <c r="A28">
        <v>26</v>
      </c>
      <c r="E28" t="s">
        <v>49</v>
      </c>
    </row>
    <row r="29" spans="1:5" x14ac:dyDescent="0.3">
      <c r="A29">
        <v>27</v>
      </c>
      <c r="E29" t="s">
        <v>51</v>
      </c>
    </row>
    <row r="30" spans="1:5" x14ac:dyDescent="0.3">
      <c r="A30">
        <v>28</v>
      </c>
      <c r="E30" t="s">
        <v>52</v>
      </c>
    </row>
    <row r="31" spans="1:5" x14ac:dyDescent="0.3">
      <c r="A31">
        <v>29</v>
      </c>
      <c r="E31" t="s">
        <v>53</v>
      </c>
    </row>
    <row r="32" spans="1:5" x14ac:dyDescent="0.3">
      <c r="A32">
        <v>30</v>
      </c>
      <c r="E32" t="s">
        <v>54</v>
      </c>
    </row>
    <row r="33" spans="1:5" x14ac:dyDescent="0.3">
      <c r="A33">
        <v>31</v>
      </c>
      <c r="E33" t="s">
        <v>55</v>
      </c>
    </row>
    <row r="34" spans="1:5" x14ac:dyDescent="0.3">
      <c r="A34">
        <v>32</v>
      </c>
      <c r="E34" t="s">
        <v>56</v>
      </c>
    </row>
    <row r="35" spans="1:5" x14ac:dyDescent="0.3">
      <c r="A35">
        <v>33</v>
      </c>
      <c r="E35" t="s">
        <v>112</v>
      </c>
    </row>
    <row r="36" spans="1:5" x14ac:dyDescent="0.3">
      <c r="A36">
        <v>34</v>
      </c>
      <c r="E36" t="s">
        <v>57</v>
      </c>
    </row>
    <row r="37" spans="1:5" x14ac:dyDescent="0.3">
      <c r="A37">
        <v>35</v>
      </c>
      <c r="E37" t="s">
        <v>93</v>
      </c>
    </row>
    <row r="38" spans="1:5" x14ac:dyDescent="0.3">
      <c r="A38">
        <v>36</v>
      </c>
      <c r="E38" t="s">
        <v>59</v>
      </c>
    </row>
    <row r="39" spans="1:5" x14ac:dyDescent="0.3">
      <c r="A39">
        <v>37</v>
      </c>
      <c r="E39" t="s">
        <v>60</v>
      </c>
    </row>
    <row r="40" spans="1:5" x14ac:dyDescent="0.3">
      <c r="A40">
        <v>38</v>
      </c>
      <c r="E40" t="s">
        <v>61</v>
      </c>
    </row>
    <row r="41" spans="1:5" x14ac:dyDescent="0.3">
      <c r="A41">
        <v>39</v>
      </c>
      <c r="E41" t="s">
        <v>62</v>
      </c>
    </row>
    <row r="42" spans="1:5" x14ac:dyDescent="0.3">
      <c r="A42">
        <v>40</v>
      </c>
      <c r="E42" t="s">
        <v>63</v>
      </c>
    </row>
    <row r="43" spans="1:5" x14ac:dyDescent="0.3">
      <c r="A43">
        <v>41</v>
      </c>
      <c r="E43" t="s">
        <v>64</v>
      </c>
    </row>
    <row r="44" spans="1:5" x14ac:dyDescent="0.3">
      <c r="A44">
        <v>42</v>
      </c>
      <c r="E44" t="s">
        <v>19</v>
      </c>
    </row>
    <row r="45" spans="1:5" x14ac:dyDescent="0.3">
      <c r="A45">
        <v>43</v>
      </c>
      <c r="E45" t="s">
        <v>66</v>
      </c>
    </row>
    <row r="46" spans="1:5" x14ac:dyDescent="0.3">
      <c r="A46">
        <v>44</v>
      </c>
      <c r="E46" t="s">
        <v>94</v>
      </c>
    </row>
    <row r="47" spans="1:5" x14ac:dyDescent="0.3">
      <c r="A47">
        <v>45</v>
      </c>
      <c r="E47" t="s">
        <v>68</v>
      </c>
    </row>
    <row r="48" spans="1:5" x14ac:dyDescent="0.3">
      <c r="A48">
        <v>46</v>
      </c>
      <c r="E48" t="s">
        <v>127</v>
      </c>
    </row>
    <row r="49" spans="1:5" x14ac:dyDescent="0.3">
      <c r="A49">
        <v>47</v>
      </c>
      <c r="E49" t="s">
        <v>128</v>
      </c>
    </row>
    <row r="50" spans="1:5" x14ac:dyDescent="0.3">
      <c r="A50">
        <v>48</v>
      </c>
      <c r="E50" t="s">
        <v>113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138</v>
      </c>
      <c r="C2" t="s">
        <v>18</v>
      </c>
      <c r="D2" t="s">
        <v>19</v>
      </c>
      <c r="E2" t="s">
        <v>21</v>
      </c>
      <c r="F2">
        <v>0.5</v>
      </c>
    </row>
    <row r="3" spans="1:6" x14ac:dyDescent="0.3">
      <c r="A3">
        <v>1</v>
      </c>
      <c r="B3" t="s">
        <v>84</v>
      </c>
      <c r="C3" t="s">
        <v>17</v>
      </c>
      <c r="D3" t="s">
        <v>17</v>
      </c>
      <c r="E3" t="s">
        <v>22</v>
      </c>
    </row>
    <row r="4" spans="1:6" x14ac:dyDescent="0.3">
      <c r="A4">
        <v>2</v>
      </c>
      <c r="B4" t="s">
        <v>118</v>
      </c>
      <c r="C4" t="s">
        <v>17</v>
      </c>
      <c r="D4" t="s">
        <v>18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18</v>
      </c>
      <c r="E5" t="s">
        <v>86</v>
      </c>
    </row>
    <row r="6" spans="1:6" x14ac:dyDescent="0.3">
      <c r="A6">
        <v>4</v>
      </c>
      <c r="B6" t="s">
        <v>139</v>
      </c>
      <c r="C6" t="s">
        <v>20</v>
      </c>
      <c r="D6" t="s">
        <v>20</v>
      </c>
      <c r="E6" t="s">
        <v>24</v>
      </c>
    </row>
    <row r="7" spans="1:6" x14ac:dyDescent="0.3">
      <c r="A7">
        <v>5</v>
      </c>
      <c r="B7" t="s">
        <v>122</v>
      </c>
      <c r="C7" t="s">
        <v>18</v>
      </c>
      <c r="D7" t="s">
        <v>19</v>
      </c>
      <c r="E7" t="s">
        <v>87</v>
      </c>
    </row>
    <row r="8" spans="1:6" x14ac:dyDescent="0.3">
      <c r="A8">
        <v>6</v>
      </c>
      <c r="B8" t="s">
        <v>8</v>
      </c>
      <c r="C8" t="s">
        <v>19</v>
      </c>
      <c r="D8" t="s">
        <v>19</v>
      </c>
      <c r="E8" t="s">
        <v>25</v>
      </c>
    </row>
    <row r="9" spans="1:6" x14ac:dyDescent="0.3">
      <c r="A9">
        <v>7</v>
      </c>
      <c r="B9" t="s">
        <v>129</v>
      </c>
      <c r="C9" t="s">
        <v>18</v>
      </c>
      <c r="D9" t="s">
        <v>18</v>
      </c>
      <c r="E9" t="s">
        <v>88</v>
      </c>
    </row>
    <row r="10" spans="1:6" x14ac:dyDescent="0.3">
      <c r="A10">
        <v>8</v>
      </c>
      <c r="B10" t="s">
        <v>134</v>
      </c>
      <c r="C10" t="s">
        <v>19</v>
      </c>
      <c r="D10" t="s">
        <v>20</v>
      </c>
      <c r="E10" t="s">
        <v>26</v>
      </c>
    </row>
    <row r="11" spans="1:6" x14ac:dyDescent="0.3">
      <c r="A11">
        <v>9</v>
      </c>
      <c r="B11" t="s">
        <v>80</v>
      </c>
      <c r="C11" t="s">
        <v>20</v>
      </c>
      <c r="D11" t="s">
        <v>19</v>
      </c>
      <c r="E11" t="s">
        <v>27</v>
      </c>
    </row>
    <row r="12" spans="1:6" x14ac:dyDescent="0.3">
      <c r="A12">
        <v>10</v>
      </c>
      <c r="B12" t="s">
        <v>102</v>
      </c>
      <c r="C12" t="s">
        <v>20</v>
      </c>
      <c r="D12" t="s">
        <v>20</v>
      </c>
      <c r="E12" t="s">
        <v>28</v>
      </c>
    </row>
    <row r="13" spans="1:6" x14ac:dyDescent="0.3">
      <c r="A13">
        <v>11</v>
      </c>
      <c r="B13" t="s">
        <v>140</v>
      </c>
      <c r="C13" t="s">
        <v>19</v>
      </c>
      <c r="D13" t="s">
        <v>19</v>
      </c>
      <c r="E13" t="s">
        <v>109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30</v>
      </c>
    </row>
    <row r="16" spans="1:6" x14ac:dyDescent="0.3">
      <c r="A16">
        <v>14</v>
      </c>
      <c r="E16" t="s">
        <v>32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34</v>
      </c>
    </row>
    <row r="19" spans="1:5" x14ac:dyDescent="0.3">
      <c r="A19">
        <v>17</v>
      </c>
      <c r="E19" t="s">
        <v>110</v>
      </c>
    </row>
    <row r="20" spans="1:5" x14ac:dyDescent="0.3">
      <c r="A20">
        <v>18</v>
      </c>
      <c r="E20" t="s">
        <v>35</v>
      </c>
    </row>
    <row r="21" spans="1:5" x14ac:dyDescent="0.3">
      <c r="A21">
        <v>19</v>
      </c>
      <c r="E21" t="s">
        <v>36</v>
      </c>
    </row>
    <row r="22" spans="1:5" x14ac:dyDescent="0.3">
      <c r="A22">
        <v>20</v>
      </c>
      <c r="E22" t="s">
        <v>90</v>
      </c>
    </row>
    <row r="23" spans="1:5" x14ac:dyDescent="0.3">
      <c r="A23">
        <v>21</v>
      </c>
      <c r="E23" t="s">
        <v>37</v>
      </c>
    </row>
    <row r="24" spans="1:5" x14ac:dyDescent="0.3">
      <c r="A24">
        <v>22</v>
      </c>
      <c r="E24" t="s">
        <v>38</v>
      </c>
    </row>
    <row r="25" spans="1:5" x14ac:dyDescent="0.3">
      <c r="A25">
        <v>23</v>
      </c>
      <c r="E25" t="s">
        <v>91</v>
      </c>
    </row>
    <row r="26" spans="1:5" x14ac:dyDescent="0.3">
      <c r="A26">
        <v>24</v>
      </c>
      <c r="E26" t="s">
        <v>39</v>
      </c>
    </row>
    <row r="27" spans="1:5" x14ac:dyDescent="0.3">
      <c r="A27">
        <v>25</v>
      </c>
      <c r="E27" t="s">
        <v>41</v>
      </c>
    </row>
    <row r="28" spans="1:5" x14ac:dyDescent="0.3">
      <c r="A28">
        <v>26</v>
      </c>
      <c r="E28" t="s">
        <v>111</v>
      </c>
    </row>
    <row r="29" spans="1:5" x14ac:dyDescent="0.3">
      <c r="A29">
        <v>27</v>
      </c>
      <c r="E29" t="s">
        <v>42</v>
      </c>
    </row>
    <row r="30" spans="1:5" x14ac:dyDescent="0.3">
      <c r="A30">
        <v>28</v>
      </c>
      <c r="E30" t="s">
        <v>44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92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50</v>
      </c>
    </row>
    <row r="36" spans="1:5" x14ac:dyDescent="0.3">
      <c r="A36">
        <v>34</v>
      </c>
      <c r="E36" t="s">
        <v>51</v>
      </c>
    </row>
    <row r="37" spans="1:5" x14ac:dyDescent="0.3">
      <c r="A37">
        <v>35</v>
      </c>
      <c r="E37" t="s">
        <v>55</v>
      </c>
    </row>
    <row r="38" spans="1:5" x14ac:dyDescent="0.3">
      <c r="A38">
        <v>36</v>
      </c>
      <c r="E38" t="s">
        <v>56</v>
      </c>
    </row>
    <row r="39" spans="1:5" x14ac:dyDescent="0.3">
      <c r="A39">
        <v>37</v>
      </c>
      <c r="E39" t="s">
        <v>93</v>
      </c>
    </row>
    <row r="40" spans="1:5" x14ac:dyDescent="0.3">
      <c r="A40">
        <v>38</v>
      </c>
      <c r="E40" t="s">
        <v>58</v>
      </c>
    </row>
    <row r="41" spans="1:5" x14ac:dyDescent="0.3">
      <c r="A41">
        <v>39</v>
      </c>
      <c r="E41" t="s">
        <v>59</v>
      </c>
    </row>
    <row r="42" spans="1:5" x14ac:dyDescent="0.3">
      <c r="A42">
        <v>40</v>
      </c>
      <c r="E42" t="s">
        <v>60</v>
      </c>
    </row>
    <row r="43" spans="1:5" x14ac:dyDescent="0.3">
      <c r="A43">
        <v>41</v>
      </c>
      <c r="E43" t="s">
        <v>63</v>
      </c>
    </row>
    <row r="44" spans="1:5" x14ac:dyDescent="0.3">
      <c r="A44">
        <v>42</v>
      </c>
      <c r="E44" t="s">
        <v>64</v>
      </c>
    </row>
    <row r="45" spans="1:5" x14ac:dyDescent="0.3">
      <c r="A45">
        <v>43</v>
      </c>
      <c r="E45" t="s">
        <v>65</v>
      </c>
    </row>
    <row r="46" spans="1:5" x14ac:dyDescent="0.3">
      <c r="A46">
        <v>44</v>
      </c>
      <c r="E46" t="s">
        <v>19</v>
      </c>
    </row>
    <row r="47" spans="1:5" x14ac:dyDescent="0.3">
      <c r="A47">
        <v>45</v>
      </c>
      <c r="E47" t="s">
        <v>66</v>
      </c>
    </row>
    <row r="48" spans="1:5" x14ac:dyDescent="0.3">
      <c r="A48">
        <v>46</v>
      </c>
      <c r="E48" t="s">
        <v>67</v>
      </c>
    </row>
    <row r="49" spans="1:5" x14ac:dyDescent="0.3">
      <c r="A49">
        <v>47</v>
      </c>
      <c r="E49" t="s">
        <v>68</v>
      </c>
    </row>
    <row r="50" spans="1:5" x14ac:dyDescent="0.3">
      <c r="A50">
        <v>48</v>
      </c>
      <c r="E50" t="s">
        <v>96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98</v>
      </c>
    </row>
    <row r="61" spans="1:5" x14ac:dyDescent="0.3">
      <c r="A61">
        <v>59</v>
      </c>
      <c r="E6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5"/>
  <sheetViews>
    <sheetView workbookViewId="0"/>
  </sheetViews>
  <sheetFormatPr defaultRowHeight="14.4" x14ac:dyDescent="0.3"/>
  <cols>
    <col min="2" max="2" width="61.109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139</v>
      </c>
      <c r="C2" t="s">
        <v>20</v>
      </c>
      <c r="D2" t="s">
        <v>20</v>
      </c>
      <c r="E2" t="s">
        <v>21</v>
      </c>
      <c r="F2">
        <v>0.5</v>
      </c>
    </row>
    <row r="3" spans="1:6" x14ac:dyDescent="0.3">
      <c r="A3">
        <v>1</v>
      </c>
      <c r="B3" t="s">
        <v>13</v>
      </c>
      <c r="C3" t="s">
        <v>20</v>
      </c>
      <c r="D3" t="s">
        <v>20</v>
      </c>
      <c r="E3" t="s">
        <v>22</v>
      </c>
    </row>
    <row r="4" spans="1:6" x14ac:dyDescent="0.3">
      <c r="A4">
        <v>2</v>
      </c>
      <c r="B4" t="s">
        <v>84</v>
      </c>
      <c r="C4" t="s">
        <v>17</v>
      </c>
      <c r="D4" t="s">
        <v>17</v>
      </c>
      <c r="E4" t="s">
        <v>85</v>
      </c>
    </row>
    <row r="5" spans="1:6" x14ac:dyDescent="0.3">
      <c r="A5">
        <v>3</v>
      </c>
      <c r="B5" t="s">
        <v>141</v>
      </c>
      <c r="C5" t="s">
        <v>18</v>
      </c>
      <c r="D5" t="s">
        <v>19</v>
      </c>
      <c r="E5" t="s">
        <v>86</v>
      </c>
    </row>
    <row r="6" spans="1:6" x14ac:dyDescent="0.3">
      <c r="A6">
        <v>4</v>
      </c>
      <c r="B6" t="s">
        <v>130</v>
      </c>
      <c r="C6" t="s">
        <v>18</v>
      </c>
      <c r="D6" t="s">
        <v>19</v>
      </c>
      <c r="E6" t="s">
        <v>23</v>
      </c>
    </row>
    <row r="7" spans="1:6" x14ac:dyDescent="0.3">
      <c r="A7">
        <v>5</v>
      </c>
      <c r="B7" t="s">
        <v>15</v>
      </c>
      <c r="C7" t="s">
        <v>19</v>
      </c>
      <c r="D7" t="s">
        <v>18</v>
      </c>
      <c r="E7" t="s">
        <v>87</v>
      </c>
    </row>
    <row r="8" spans="1:6" x14ac:dyDescent="0.3">
      <c r="A8">
        <v>6</v>
      </c>
      <c r="B8" t="s">
        <v>132</v>
      </c>
      <c r="C8" t="s">
        <v>20</v>
      </c>
      <c r="D8" t="s">
        <v>20</v>
      </c>
      <c r="E8" t="s">
        <v>25</v>
      </c>
    </row>
    <row r="9" spans="1:6" x14ac:dyDescent="0.3">
      <c r="A9">
        <v>7</v>
      </c>
      <c r="B9" t="s">
        <v>81</v>
      </c>
      <c r="C9" t="s">
        <v>19</v>
      </c>
      <c r="D9" t="s">
        <v>17</v>
      </c>
      <c r="E9" t="s">
        <v>88</v>
      </c>
    </row>
    <row r="10" spans="1:6" x14ac:dyDescent="0.3">
      <c r="A10">
        <v>8</v>
      </c>
      <c r="B10" t="s">
        <v>83</v>
      </c>
      <c r="C10" t="s">
        <v>18</v>
      </c>
      <c r="D10" t="s">
        <v>17</v>
      </c>
      <c r="E10" t="s">
        <v>26</v>
      </c>
    </row>
    <row r="11" spans="1:6" x14ac:dyDescent="0.3">
      <c r="A11">
        <v>9</v>
      </c>
      <c r="B11" t="s">
        <v>100</v>
      </c>
      <c r="C11" t="s">
        <v>19</v>
      </c>
      <c r="D11" t="s">
        <v>18</v>
      </c>
      <c r="E11" t="s">
        <v>27</v>
      </c>
    </row>
    <row r="12" spans="1:6" x14ac:dyDescent="0.3">
      <c r="A12">
        <v>10</v>
      </c>
      <c r="B12" t="s">
        <v>14</v>
      </c>
      <c r="C12" t="s">
        <v>17</v>
      </c>
      <c r="D12" t="s">
        <v>17</v>
      </c>
      <c r="E12" t="s">
        <v>28</v>
      </c>
    </row>
    <row r="13" spans="1:6" x14ac:dyDescent="0.3">
      <c r="A13">
        <v>11</v>
      </c>
      <c r="B13" t="s">
        <v>77</v>
      </c>
      <c r="C13" t="s">
        <v>17</v>
      </c>
      <c r="D13" t="s">
        <v>17</v>
      </c>
      <c r="E13" t="s">
        <v>109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89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32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37</v>
      </c>
    </row>
    <row r="22" spans="1:5" x14ac:dyDescent="0.3">
      <c r="A22">
        <v>20</v>
      </c>
      <c r="E22" t="s">
        <v>38</v>
      </c>
    </row>
    <row r="23" spans="1:5" x14ac:dyDescent="0.3">
      <c r="A23">
        <v>21</v>
      </c>
      <c r="E23" t="s">
        <v>91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42</v>
      </c>
    </row>
    <row r="28" spans="1:5" x14ac:dyDescent="0.3">
      <c r="A28">
        <v>26</v>
      </c>
      <c r="E28" t="s">
        <v>43</v>
      </c>
    </row>
    <row r="29" spans="1:5" x14ac:dyDescent="0.3">
      <c r="A29">
        <v>27</v>
      </c>
      <c r="E29" t="s">
        <v>44</v>
      </c>
    </row>
    <row r="30" spans="1:5" x14ac:dyDescent="0.3">
      <c r="A30">
        <v>28</v>
      </c>
      <c r="E30" t="s">
        <v>45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47</v>
      </c>
    </row>
    <row r="33" spans="1:5" x14ac:dyDescent="0.3">
      <c r="A33">
        <v>31</v>
      </c>
      <c r="E33" t="s">
        <v>92</v>
      </c>
    </row>
    <row r="34" spans="1:5" x14ac:dyDescent="0.3">
      <c r="A34">
        <v>32</v>
      </c>
      <c r="E34" t="s">
        <v>48</v>
      </c>
    </row>
    <row r="35" spans="1:5" x14ac:dyDescent="0.3">
      <c r="A35">
        <v>33</v>
      </c>
      <c r="E35" t="s">
        <v>49</v>
      </c>
    </row>
    <row r="36" spans="1:5" x14ac:dyDescent="0.3">
      <c r="A36">
        <v>34</v>
      </c>
      <c r="E36" t="s">
        <v>50</v>
      </c>
    </row>
    <row r="37" spans="1:5" x14ac:dyDescent="0.3">
      <c r="A37">
        <v>35</v>
      </c>
      <c r="E37" t="s">
        <v>51</v>
      </c>
    </row>
    <row r="38" spans="1:5" x14ac:dyDescent="0.3">
      <c r="A38">
        <v>36</v>
      </c>
      <c r="E38" t="s">
        <v>53</v>
      </c>
    </row>
    <row r="39" spans="1:5" x14ac:dyDescent="0.3">
      <c r="A39">
        <v>37</v>
      </c>
      <c r="E39" t="s">
        <v>54</v>
      </c>
    </row>
    <row r="40" spans="1:5" x14ac:dyDescent="0.3">
      <c r="A40">
        <v>38</v>
      </c>
      <c r="E40" t="s">
        <v>56</v>
      </c>
    </row>
    <row r="41" spans="1:5" x14ac:dyDescent="0.3">
      <c r="A41">
        <v>39</v>
      </c>
      <c r="E41" t="s">
        <v>57</v>
      </c>
    </row>
    <row r="42" spans="1:5" x14ac:dyDescent="0.3">
      <c r="A42">
        <v>40</v>
      </c>
      <c r="E42" t="s">
        <v>93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60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63</v>
      </c>
    </row>
    <row r="47" spans="1:5" x14ac:dyDescent="0.3">
      <c r="A47">
        <v>45</v>
      </c>
      <c r="E47" t="s">
        <v>64</v>
      </c>
    </row>
    <row r="48" spans="1:5" x14ac:dyDescent="0.3">
      <c r="A48">
        <v>46</v>
      </c>
      <c r="E48" t="s">
        <v>65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94</v>
      </c>
    </row>
    <row r="52" spans="1:5" x14ac:dyDescent="0.3">
      <c r="A52">
        <v>50</v>
      </c>
      <c r="E52" t="s">
        <v>95</v>
      </c>
    </row>
    <row r="53" spans="1:5" x14ac:dyDescent="0.3">
      <c r="A53">
        <v>51</v>
      </c>
      <c r="E53" t="s">
        <v>67</v>
      </c>
    </row>
    <row r="54" spans="1:5" x14ac:dyDescent="0.3">
      <c r="A54">
        <v>52</v>
      </c>
      <c r="E54" t="s">
        <v>68</v>
      </c>
    </row>
    <row r="55" spans="1:5" x14ac:dyDescent="0.3">
      <c r="A55">
        <v>53</v>
      </c>
      <c r="E55" t="s">
        <v>96</v>
      </c>
    </row>
    <row r="56" spans="1:5" x14ac:dyDescent="0.3">
      <c r="A56">
        <v>54</v>
      </c>
      <c r="E56" t="s">
        <v>97</v>
      </c>
    </row>
    <row r="57" spans="1:5" x14ac:dyDescent="0.3">
      <c r="A57">
        <v>55</v>
      </c>
      <c r="E57" t="s">
        <v>69</v>
      </c>
    </row>
    <row r="58" spans="1:5" x14ac:dyDescent="0.3">
      <c r="A58">
        <v>56</v>
      </c>
      <c r="E58" t="s">
        <v>70</v>
      </c>
    </row>
    <row r="59" spans="1:5" x14ac:dyDescent="0.3">
      <c r="A59">
        <v>57</v>
      </c>
      <c r="E59" t="s">
        <v>71</v>
      </c>
    </row>
    <row r="60" spans="1:5" x14ac:dyDescent="0.3">
      <c r="A60">
        <v>58</v>
      </c>
      <c r="E60" t="s">
        <v>74</v>
      </c>
    </row>
    <row r="61" spans="1:5" x14ac:dyDescent="0.3">
      <c r="A61">
        <v>59</v>
      </c>
      <c r="E61" t="s">
        <v>75</v>
      </c>
    </row>
    <row r="62" spans="1:5" x14ac:dyDescent="0.3">
      <c r="A62">
        <v>60</v>
      </c>
      <c r="E62" t="s">
        <v>76</v>
      </c>
    </row>
    <row r="63" spans="1:5" x14ac:dyDescent="0.3">
      <c r="A63">
        <v>61</v>
      </c>
      <c r="E63" t="s">
        <v>17</v>
      </c>
    </row>
    <row r="64" spans="1:5" x14ac:dyDescent="0.3">
      <c r="A64">
        <v>62</v>
      </c>
      <c r="E64" t="s">
        <v>98</v>
      </c>
    </row>
    <row r="65" spans="1:5" x14ac:dyDescent="0.3">
      <c r="A65">
        <v>63</v>
      </c>
      <c r="E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workings</vt:lpstr>
      <vt:lpstr>Summary</vt:lpstr>
      <vt:lpstr>rand_42</vt:lpstr>
      <vt:lpstr>rand_1</vt:lpstr>
      <vt:lpstr>rand_2</vt:lpstr>
      <vt:lpstr>rand_3</vt:lpstr>
      <vt:lpstr>rand_4</vt:lpstr>
      <vt:lpstr>rand_5</vt:lpstr>
      <vt:lpstr>rand_6</vt:lpstr>
      <vt:lpstr>rand_7</vt:lpstr>
      <vt:lpstr>rand_8</vt:lpstr>
      <vt:lpstr>rand_9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Willyams [stw0454]</cp:lastModifiedBy>
  <dcterms:created xsi:type="dcterms:W3CDTF">2026-09-22T04:49:20Z</dcterms:created>
  <dcterms:modified xsi:type="dcterms:W3CDTF">2026-09-23T00:19:07Z</dcterms:modified>
</cp:coreProperties>
</file>